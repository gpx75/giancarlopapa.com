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defaultThemeVersion="166925"/>
  <mc:AlternateContent xmlns:mc="http://schemas.openxmlformats.org/markup-compatibility/2006">
    <mc:Choice Requires="x15">
      <x15ac:absPath xmlns:x15ac="http://schemas.microsoft.com/office/spreadsheetml/2010/11/ac" url="/Users/sibyllescheiwiller/Desktop/Sibylle/1_Alixio/11_Tools/1_LOFT/1_SWISS LOFT/3_Contentpflege Loft/4_Informationen RAV/"/>
    </mc:Choice>
  </mc:AlternateContent>
  <xr:revisionPtr revIDLastSave="0" documentId="13_ncr:1_{05831DE9-2894-E64E-8528-7983B4B59175}" xr6:coauthVersionLast="47" xr6:coauthVersionMax="47" xr10:uidLastSave="{00000000-0000-0000-0000-000000000000}"/>
  <bookViews>
    <workbookView xWindow="0" yWindow="700" windowWidth="27040" windowHeight="15520" activeTab="1" xr2:uid="{EB8CD86C-3898-43AC-B40C-365060EC824D}"/>
  </bookViews>
  <sheets>
    <sheet name="Form" sheetId="6" r:id="rId1"/>
    <sheet name="Arbeitsbemühungen" sheetId="1" r:id="rId2"/>
    <sheet name="Sprachen" sheetId="3" state="hidden" r:id="rId3"/>
    <sheet name="Dropdown" sheetId="4" state="hidden" r:id="rId4"/>
  </sheets>
  <definedNames>
    <definedName name="_xlnm.Print_Area" localSheetId="1">Arbeitsbemühungen!$B$1:$R$45</definedName>
    <definedName name="_xlnm.Print_Area" localSheetId="0">Form!$A$1:$BK$59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8" i="1" l="1"/>
  <c r="F8" i="1"/>
  <c r="O6" i="4"/>
  <c r="O7" i="4"/>
  <c r="O8" i="4"/>
  <c r="O9" i="4"/>
  <c r="O10" i="4"/>
  <c r="O11" i="4"/>
  <c r="O12" i="4"/>
  <c r="O13" i="4"/>
  <c r="O14" i="4"/>
  <c r="O15" i="4"/>
  <c r="O16" i="4"/>
  <c r="O5" i="4"/>
  <c r="B36" i="3"/>
  <c r="X9" i="6" s="1"/>
  <c r="B37" i="3"/>
  <c r="B38" i="3"/>
  <c r="B39" i="3"/>
  <c r="B40" i="3"/>
  <c r="B41" i="3"/>
  <c r="B42" i="3"/>
  <c r="B43" i="3"/>
  <c r="B44" i="3"/>
  <c r="B45" i="3"/>
  <c r="B46" i="3"/>
  <c r="B47" i="3"/>
  <c r="B35" i="3"/>
  <c r="X7" i="6" s="1"/>
  <c r="D36" i="1"/>
  <c r="B34" i="3"/>
  <c r="B58" i="6" s="1"/>
  <c r="G32" i="1"/>
  <c r="G31" i="1"/>
  <c r="G30" i="1"/>
  <c r="G29" i="1"/>
  <c r="G28" i="1"/>
  <c r="G27" i="1"/>
  <c r="D32" i="1"/>
  <c r="D31" i="1"/>
  <c r="D30" i="1"/>
  <c r="D29" i="1"/>
  <c r="D28" i="1"/>
  <c r="B33" i="3"/>
  <c r="R1" i="6" s="1"/>
  <c r="B32" i="3"/>
  <c r="AU1" i="6" s="1"/>
  <c r="B31" i="3"/>
  <c r="X5" i="6" s="1"/>
  <c r="B30" i="3"/>
  <c r="AU13" i="6" s="1"/>
  <c r="B5" i="3"/>
  <c r="B6" i="3"/>
  <c r="L3" i="6" s="1"/>
  <c r="B7" i="3"/>
  <c r="B7" i="6" s="1"/>
  <c r="B8" i="3"/>
  <c r="B9" i="6" s="1"/>
  <c r="B9" i="3"/>
  <c r="B11" i="6" s="1"/>
  <c r="B10" i="3"/>
  <c r="B12" i="6" s="1"/>
  <c r="B11" i="3"/>
  <c r="B13" i="6" s="1"/>
  <c r="B12" i="3"/>
  <c r="D13" i="6" s="1"/>
  <c r="B13" i="3"/>
  <c r="F11" i="6" s="1"/>
  <c r="B14" i="3"/>
  <c r="F12" i="6" s="1"/>
  <c r="B15" i="3"/>
  <c r="F13" i="6" s="1"/>
  <c r="B16" i="3"/>
  <c r="B17" i="3"/>
  <c r="AI7" i="6" s="1"/>
  <c r="B18" i="3"/>
  <c r="AK5" i="6" s="1"/>
  <c r="B19" i="3"/>
  <c r="AL5" i="6" s="1"/>
  <c r="B20" i="3"/>
  <c r="AM5" i="6" s="1"/>
  <c r="B21" i="3"/>
  <c r="AN5" i="6" s="1"/>
  <c r="B22" i="3"/>
  <c r="AO5" i="6" s="1"/>
  <c r="B23" i="3"/>
  <c r="AQ5" i="6" s="1"/>
  <c r="B24" i="3"/>
  <c r="AR5" i="6" s="1"/>
  <c r="B25" i="3"/>
  <c r="AS5" i="6" s="1"/>
  <c r="B26" i="3"/>
  <c r="AT5" i="6" s="1"/>
  <c r="B27" i="3"/>
  <c r="AK3" i="6" s="1"/>
  <c r="B28" i="3"/>
  <c r="AM3" i="6" s="1"/>
  <c r="B29" i="3"/>
  <c r="AQ3" i="6" s="1"/>
  <c r="B4" i="3"/>
  <c r="B3" i="6" s="1"/>
  <c r="C32" i="1"/>
  <c r="C31" i="1"/>
  <c r="C30" i="1"/>
  <c r="C29" i="1"/>
  <c r="C28" i="1"/>
  <c r="B32" i="1"/>
  <c r="R32" i="1" s="1"/>
  <c r="B31" i="1"/>
  <c r="R31" i="1" s="1"/>
  <c r="B30" i="1"/>
  <c r="R30" i="1" s="1"/>
  <c r="B29" i="1"/>
  <c r="R29" i="1" s="1"/>
  <c r="B28" i="1"/>
  <c r="E28" i="1" s="1"/>
  <c r="Q32" i="1"/>
  <c r="P32" i="1"/>
  <c r="O32" i="1"/>
  <c r="N32" i="1"/>
  <c r="M32" i="1"/>
  <c r="L32" i="1"/>
  <c r="K32" i="1"/>
  <c r="J32" i="1"/>
  <c r="I32" i="1"/>
  <c r="Q31" i="1"/>
  <c r="P31" i="1"/>
  <c r="O31" i="1"/>
  <c r="N31" i="1"/>
  <c r="M31" i="1"/>
  <c r="L31" i="1"/>
  <c r="K31" i="1"/>
  <c r="J31" i="1"/>
  <c r="I31" i="1"/>
  <c r="Q30" i="1"/>
  <c r="P30" i="1"/>
  <c r="O30" i="1"/>
  <c r="N30" i="1"/>
  <c r="M30" i="1"/>
  <c r="L30" i="1"/>
  <c r="K30" i="1"/>
  <c r="J30" i="1"/>
  <c r="I30" i="1"/>
  <c r="Q29" i="1"/>
  <c r="P29" i="1"/>
  <c r="O29" i="1"/>
  <c r="N29" i="1"/>
  <c r="M29" i="1"/>
  <c r="L29" i="1"/>
  <c r="K29" i="1"/>
  <c r="J29" i="1"/>
  <c r="I29" i="1"/>
  <c r="Q28" i="1"/>
  <c r="P28" i="1"/>
  <c r="O28" i="1"/>
  <c r="N28" i="1"/>
  <c r="M28" i="1"/>
  <c r="L28" i="1"/>
  <c r="K28" i="1"/>
  <c r="J28" i="1"/>
  <c r="I28" i="1"/>
  <c r="H32" i="1"/>
  <c r="H31" i="1"/>
  <c r="H30" i="1"/>
  <c r="H29" i="1"/>
  <c r="H28" i="1"/>
  <c r="Q27" i="1"/>
  <c r="O27" i="1"/>
  <c r="P27" i="1"/>
  <c r="N27" i="1"/>
  <c r="I27" i="1"/>
  <c r="J27" i="1"/>
  <c r="K27" i="1"/>
  <c r="L27" i="1"/>
  <c r="H27" i="1"/>
  <c r="D27" i="1"/>
  <c r="C27" i="1"/>
  <c r="B27" i="1"/>
  <c r="R27" i="1" s="1"/>
  <c r="N13" i="1"/>
  <c r="O13" i="1"/>
  <c r="P13" i="1"/>
  <c r="Q13" i="1"/>
  <c r="N14" i="1"/>
  <c r="O14" i="1"/>
  <c r="P14" i="1"/>
  <c r="Q14" i="1"/>
  <c r="N15" i="1"/>
  <c r="O15" i="1"/>
  <c r="P15" i="1"/>
  <c r="Q15" i="1"/>
  <c r="N16" i="1"/>
  <c r="O16" i="1"/>
  <c r="P16" i="1"/>
  <c r="Q16" i="1"/>
  <c r="N17" i="1"/>
  <c r="O17" i="1"/>
  <c r="P17" i="1"/>
  <c r="Q17" i="1"/>
  <c r="N18" i="1"/>
  <c r="O18" i="1"/>
  <c r="P18" i="1"/>
  <c r="Q18" i="1"/>
  <c r="N19" i="1"/>
  <c r="O19" i="1"/>
  <c r="P19" i="1"/>
  <c r="Q19" i="1"/>
  <c r="N20" i="1"/>
  <c r="O20" i="1"/>
  <c r="P20" i="1"/>
  <c r="Q20" i="1"/>
  <c r="I13" i="1"/>
  <c r="J13" i="1"/>
  <c r="K13" i="1"/>
  <c r="L13" i="1"/>
  <c r="I14" i="1"/>
  <c r="J14" i="1"/>
  <c r="K14" i="1"/>
  <c r="L14" i="1"/>
  <c r="I15" i="1"/>
  <c r="J15" i="1"/>
  <c r="K15" i="1"/>
  <c r="L15" i="1"/>
  <c r="I16" i="1"/>
  <c r="J16" i="1"/>
  <c r="K16" i="1"/>
  <c r="L16" i="1"/>
  <c r="I17" i="1"/>
  <c r="J17" i="1"/>
  <c r="K17" i="1"/>
  <c r="L17" i="1"/>
  <c r="I18" i="1"/>
  <c r="J18" i="1"/>
  <c r="K18" i="1"/>
  <c r="L18" i="1"/>
  <c r="I19" i="1"/>
  <c r="J19" i="1"/>
  <c r="K19" i="1"/>
  <c r="L19" i="1"/>
  <c r="I20" i="1"/>
  <c r="J20" i="1"/>
  <c r="K20" i="1"/>
  <c r="L20" i="1"/>
  <c r="H20" i="1"/>
  <c r="H19" i="1"/>
  <c r="H18" i="1"/>
  <c r="H17" i="1"/>
  <c r="H16" i="1"/>
  <c r="H15" i="1"/>
  <c r="H14" i="1"/>
  <c r="G15" i="1"/>
  <c r="G14" i="1"/>
  <c r="G13" i="1"/>
  <c r="H13" i="1"/>
  <c r="C15" i="1"/>
  <c r="C16" i="1"/>
  <c r="C17" i="1"/>
  <c r="C18" i="1"/>
  <c r="C19" i="1"/>
  <c r="C20" i="1"/>
  <c r="C14" i="1"/>
  <c r="B20" i="1"/>
  <c r="G20" i="1" s="1"/>
  <c r="B19" i="1"/>
  <c r="G19" i="1" s="1"/>
  <c r="B18" i="1"/>
  <c r="R18" i="1" s="1"/>
  <c r="B17" i="1"/>
  <c r="G17" i="1" s="1"/>
  <c r="B16" i="1"/>
  <c r="G16" i="1" s="1"/>
  <c r="B15" i="1"/>
  <c r="R15" i="1" s="1"/>
  <c r="D20" i="1"/>
  <c r="D19" i="1"/>
  <c r="D18" i="1"/>
  <c r="D17" i="1"/>
  <c r="D16" i="1"/>
  <c r="D15" i="1"/>
  <c r="D14" i="1"/>
  <c r="D13" i="1"/>
  <c r="E30" i="1" l="1"/>
  <c r="E29" i="1"/>
  <c r="E32" i="1"/>
  <c r="E31" i="1"/>
  <c r="R28" i="1"/>
  <c r="E19" i="1"/>
  <c r="E20" i="1"/>
  <c r="R19" i="1"/>
  <c r="R20" i="1"/>
  <c r="E15" i="1"/>
  <c r="E16" i="1"/>
  <c r="R16" i="1"/>
  <c r="E27" i="1"/>
  <c r="G18" i="1"/>
  <c r="E17" i="1"/>
  <c r="R17" i="1"/>
  <c r="E18" i="1"/>
  <c r="B14" i="1"/>
  <c r="C13" i="1"/>
  <c r="B13" i="1"/>
  <c r="B8" i="1"/>
  <c r="K37" i="1" s="1"/>
  <c r="D34" i="1"/>
  <c r="R13" i="1" l="1"/>
  <c r="E13" i="1"/>
  <c r="R14" i="1"/>
  <c r="E14" i="1"/>
</calcChain>
</file>

<file path=xl/sharedStrings.xml><?xml version="1.0" encoding="utf-8"?>
<sst xmlns="http://schemas.openxmlformats.org/spreadsheetml/2006/main" count="280" uniqueCount="204">
  <si>
    <t>0716007 – 001 – 09 - 2019</t>
  </si>
  <si>
    <t>Arbeitslosenversicherung</t>
  </si>
  <si>
    <t>Nachweis der persönlichen Arbeitsbemühungen</t>
  </si>
  <si>
    <t>716.007 d 09.2019 300’000</t>
  </si>
  <si>
    <t>Einzureichen beim RAV</t>
  </si>
  <si>
    <t>bis spätestens am 5. Tag des Folgemonats</t>
  </si>
  <si>
    <t>Eingangsdatum / Datum des Poststempels</t>
  </si>
  <si>
    <t>Bewerbung</t>
  </si>
  <si>
    <t>Ergebnis der Bewerbung</t>
  </si>
  <si>
    <t>Pensum</t>
  </si>
  <si>
    <t>Datum der</t>
  </si>
  <si>
    <t>Firma, Adresse</t>
  </si>
  <si>
    <t>Kontaktperson, Telefon-Nr.</t>
  </si>
  <si>
    <t>Stellenbezeichnung</t>
  </si>
  <si>
    <t>Tag</t>
  </si>
  <si>
    <t>Monat</t>
  </si>
  <si>
    <t>Absagegrund</t>
  </si>
  <si>
    <t>AHV-Nr.</t>
  </si>
  <si>
    <t>Name und Vorname</t>
  </si>
  <si>
    <t>Monat und Jahr</t>
  </si>
  <si>
    <t>Beilagen:</t>
  </si>
  <si>
    <t>Datum:</t>
  </si>
  <si>
    <t>Unterschrift der versicherten Person:</t>
  </si>
  <si>
    <t>Hinweis</t>
  </si>
  <si>
    <t xml:space="preserve">Die versicherte Person muss der zuständigen Amtsstelle für jede Kontrollperiode (Kalendermonat) bis spätestens am 5. Tag des Folgemonats schriftliche Angaben über ihre Bemühungen um Arbeit einreichen (Art. 26 AVIV). Dazu dient dieses Formular. Schriftliche Unterlagen wie Kopien von Bewerbungsschreiben oder Absagebriefen sind aufzubewahren und auf Verlangen einzureichen. </t>
  </si>
  <si>
    <t xml:space="preserve">Nach dem 5. Tag des Folgemonats eingereichte Arbeitsbemühungen können nicht mehr berücksichtigt werden, ausser es liegt ein entschuldbarer Grund vor. </t>
  </si>
  <si>
    <t>Mit unwahren oder unvollständigen Angaben macht sich die versicherte Person strafbar (Art. 105 ff. AVIG).</t>
  </si>
  <si>
    <t xml:space="preserve">Die Pflicht, sich persönlich um Arbeit zu bemühen, gilt bereits vor Eintritt der Arbeitslosigkeit (z.B. während der Kündigungsfrist oder dem befristeten Arbeitsverhältnis). </t>
  </si>
  <si>
    <t>X</t>
  </si>
  <si>
    <t xml:space="preserve"> Zuweisung RAV</t>
  </si>
  <si>
    <t xml:space="preserve"> Vollzeit</t>
  </si>
  <si>
    <t xml:space="preserve"> Teilzeit (%)</t>
  </si>
  <si>
    <t xml:space="preserve"> Brieflich/ elektronisch</t>
  </si>
  <si>
    <t xml:space="preserve"> Persönlich</t>
  </si>
  <si>
    <t xml:space="preserve"> Telefonisch</t>
  </si>
  <si>
    <t xml:space="preserve"> noch offen</t>
  </si>
  <si>
    <t xml:space="preserve"> Vorstellungs- gespräch</t>
  </si>
  <si>
    <t xml:space="preserve"> Anstellung</t>
  </si>
  <si>
    <t xml:space="preserve"> Absage</t>
  </si>
  <si>
    <t xml:space="preserve">Die versicherte Person muss alles Zumutbare unternehmen, um Arbeitslosigkeit zu vermeiden oder zu verkürzen. Insbesondere ist es ihre Sache, Arbeit zu suchen, wenn 
nötig auch ausserhalb ihres bisherigen Berufes (Art. 17 AVIG). </t>
  </si>
  <si>
    <t xml:space="preserve">Versicherte Personen, die sich nicht genügend um zumutbare Arbeit bemühen oder eine solche ablehnen, werden je nach dem Verschulden bis zu einer Dauer von 
höchstens 60 Tagen in der Anspruchsberechtigung eingestellt (Art. 30 AVIG). </t>
  </si>
  <si>
    <t>Dropdown</t>
  </si>
  <si>
    <t>Language</t>
  </si>
  <si>
    <t>Title</t>
  </si>
  <si>
    <t>Deutsch</t>
  </si>
  <si>
    <t>tbd</t>
  </si>
  <si>
    <t>English</t>
  </si>
  <si>
    <t>Form</t>
  </si>
  <si>
    <t>Englisch</t>
  </si>
  <si>
    <t>Name</t>
  </si>
  <si>
    <t>Vorname</t>
  </si>
  <si>
    <t>Firma</t>
  </si>
  <si>
    <t>Adresse</t>
  </si>
  <si>
    <t>x</t>
  </si>
  <si>
    <t>AHV Nummer</t>
  </si>
  <si>
    <t>Old-age and survivor's insurance (OASI)</t>
  </si>
  <si>
    <t>First name</t>
  </si>
  <si>
    <t>Date of</t>
  </si>
  <si>
    <t>Application</t>
  </si>
  <si>
    <t>Month</t>
  </si>
  <si>
    <t>Company</t>
  </si>
  <si>
    <t>Address</t>
  </si>
  <si>
    <t>Contact person, telephone no.</t>
  </si>
  <si>
    <t>Job title</t>
  </si>
  <si>
    <t>Result of the application</t>
  </si>
  <si>
    <t>Französisch</t>
  </si>
  <si>
    <t>Italienisch</t>
  </si>
  <si>
    <t>Français</t>
  </si>
  <si>
    <t>Italiano</t>
  </si>
  <si>
    <t>Day</t>
  </si>
  <si>
    <t>Begründung</t>
  </si>
  <si>
    <t>Reason</t>
  </si>
  <si>
    <t>https://www.ahv-iv.ch/de/</t>
  </si>
  <si>
    <t>https://www.ahv-iv.ch/EN/</t>
  </si>
  <si>
    <t>Sprache</t>
  </si>
  <si>
    <t>(bitte auswählen)</t>
  </si>
  <si>
    <t>(please select)</t>
  </si>
  <si>
    <t>https://www.arbeit.swiss/secoalv/de/home.html</t>
  </si>
  <si>
    <t>https://www.arbeit.swiss/secoalv/en/home.html</t>
  </si>
  <si>
    <t>Formular "Nachweis der persönlichen Arbeitsbemühungen"</t>
  </si>
  <si>
    <t>Form "Nachweis der persönlichen Arbeitsbemühungen"</t>
  </si>
  <si>
    <t>Work-load</t>
  </si>
  <si>
    <t>Attachments</t>
  </si>
  <si>
    <t>Monat:</t>
  </si>
  <si>
    <t>Month:</t>
  </si>
  <si>
    <t>April</t>
  </si>
  <si>
    <t xml:space="preserve">Januar      </t>
  </si>
  <si>
    <t xml:space="preserve">January     </t>
  </si>
  <si>
    <t>gennaio</t>
  </si>
  <si>
    <t xml:space="preserve">Februar     </t>
  </si>
  <si>
    <t xml:space="preserve">February    </t>
  </si>
  <si>
    <t>febbraio</t>
  </si>
  <si>
    <t>marzo</t>
  </si>
  <si>
    <t>aprile</t>
  </si>
  <si>
    <t>maggio</t>
  </si>
  <si>
    <t>giugno</t>
  </si>
  <si>
    <t>luglio</t>
  </si>
  <si>
    <t xml:space="preserve">August      </t>
  </si>
  <si>
    <t>agosto</t>
  </si>
  <si>
    <t xml:space="preserve">September   </t>
  </si>
  <si>
    <t xml:space="preserve">septembre     </t>
  </si>
  <si>
    <t>settembre</t>
  </si>
  <si>
    <t xml:space="preserve">Oktober     </t>
  </si>
  <si>
    <t xml:space="preserve">October     </t>
  </si>
  <si>
    <t>ottobre</t>
  </si>
  <si>
    <t xml:space="preserve">November    </t>
  </si>
  <si>
    <t xml:space="preserve">novembre      </t>
  </si>
  <si>
    <t>novembre</t>
  </si>
  <si>
    <t xml:space="preserve">Dezember    </t>
  </si>
  <si>
    <t xml:space="preserve">December    </t>
  </si>
  <si>
    <t xml:space="preserve">décembre      </t>
  </si>
  <si>
    <t>dicembre</t>
  </si>
  <si>
    <t>Jahr</t>
  </si>
  <si>
    <t>Jahr:</t>
  </si>
  <si>
    <t>Year:</t>
  </si>
  <si>
    <t>Langue</t>
  </si>
  <si>
    <t>Lingua</t>
  </si>
  <si>
    <t>Numéro AVS</t>
  </si>
  <si>
    <t>Numero AVS</t>
  </si>
  <si>
    <t>(veuillez sélectionner)</t>
  </si>
  <si>
    <t>(seleziona)</t>
  </si>
  <si>
    <t>Nom</t>
  </si>
  <si>
    <t>Nome</t>
  </si>
  <si>
    <t>Prénom</t>
  </si>
  <si>
    <t>Nome di battesimo</t>
  </si>
  <si>
    <t>Date de</t>
  </si>
  <si>
    <t>Data del</t>
  </si>
  <si>
    <t>Candidature</t>
  </si>
  <si>
    <t>Candidatura</t>
  </si>
  <si>
    <t>Jour</t>
  </si>
  <si>
    <t>Giorno</t>
  </si>
  <si>
    <t>Mois</t>
  </si>
  <si>
    <t>Mese</t>
  </si>
  <si>
    <t>Entreprise</t>
  </si>
  <si>
    <t>Azienda</t>
  </si>
  <si>
    <t>Indirizzo</t>
  </si>
  <si>
    <t>Personne de contact, no de téléphone</t>
  </si>
  <si>
    <t>Persona di contatto, n. di telefono</t>
  </si>
  <si>
    <t>Intitulé du poste</t>
  </si>
  <si>
    <t>Titolo di lavoro</t>
  </si>
  <si>
    <t>Assignment RAV</t>
  </si>
  <si>
    <t>Affectation ORP</t>
  </si>
  <si>
    <t>Assegnazione URC</t>
  </si>
  <si>
    <t>Full-time</t>
  </si>
  <si>
    <t>Plein temps</t>
  </si>
  <si>
    <t>Tempo pieno</t>
  </si>
  <si>
    <t>Part-time (%)</t>
  </si>
  <si>
    <t>Temps partiel (%)</t>
  </si>
  <si>
    <t>Tempo parziale (%)</t>
  </si>
  <si>
    <t>By letter/ electronically</t>
  </si>
  <si>
    <t>Par courrier / électroniquement</t>
  </si>
  <si>
    <t>Per lettera / elettronicamente</t>
  </si>
  <si>
    <t>In person</t>
  </si>
  <si>
    <t>En personne</t>
  </si>
  <si>
    <t>Di persona</t>
  </si>
  <si>
    <t>By telephone</t>
  </si>
  <si>
    <t>Par téléphone</t>
  </si>
  <si>
    <t>Per telefono</t>
  </si>
  <si>
    <t>still open</t>
  </si>
  <si>
    <t>encore ouvert</t>
  </si>
  <si>
    <t>ancora aperto</t>
  </si>
  <si>
    <t>Interview</t>
  </si>
  <si>
    <t>Entretien</t>
  </si>
  <si>
    <t>Colloquio</t>
  </si>
  <si>
    <t>Employment</t>
  </si>
  <si>
    <t>Emploi</t>
  </si>
  <si>
    <t>Impiego</t>
  </si>
  <si>
    <t>Rejection</t>
  </si>
  <si>
    <t>Refus</t>
  </si>
  <si>
    <t>Rifiuto</t>
  </si>
  <si>
    <t>Taux d'occupation</t>
  </si>
  <si>
    <t>Carico di lavoro</t>
  </si>
  <si>
    <t>Résultat de la candidature</t>
  </si>
  <si>
    <t>Esito della candidatura</t>
  </si>
  <si>
    <t>Motif</t>
  </si>
  <si>
    <t>Motivo</t>
  </si>
  <si>
    <t>Formulaire "Preuve des recherches personnelles d'emploi"</t>
  </si>
  <si>
    <t>Modulo "Prova dell’impegno personale nella ricerca di lavoro"</t>
  </si>
  <si>
    <t>Annexes</t>
  </si>
  <si>
    <t>Allegati</t>
  </si>
  <si>
    <t>Mois:</t>
  </si>
  <si>
    <t>Mese:</t>
  </si>
  <si>
    <t>Année:</t>
  </si>
  <si>
    <t>Anno:</t>
  </si>
  <si>
    <t xml:space="preserve">https://www.ahv-iv.ch/EN/ </t>
  </si>
  <si>
    <t>janvier</t>
  </si>
  <si>
    <t>février</t>
  </si>
  <si>
    <t xml:space="preserve">März </t>
  </si>
  <si>
    <t>March</t>
  </si>
  <si>
    <t xml:space="preserve">mars   </t>
  </si>
  <si>
    <t xml:space="preserve">avril  </t>
  </si>
  <si>
    <t xml:space="preserve">Mai  </t>
  </si>
  <si>
    <t xml:space="preserve">May  </t>
  </si>
  <si>
    <t xml:space="preserve">mai    </t>
  </si>
  <si>
    <t xml:space="preserve">Juni </t>
  </si>
  <si>
    <t xml:space="preserve">June </t>
  </si>
  <si>
    <t xml:space="preserve">juin   </t>
  </si>
  <si>
    <t xml:space="preserve">Juli </t>
  </si>
  <si>
    <t xml:space="preserve">July </t>
  </si>
  <si>
    <t>juillet</t>
  </si>
  <si>
    <t xml:space="preserve">août   </t>
  </si>
  <si>
    <t>octobre</t>
  </si>
  <si>
    <t>Sprachen</t>
  </si>
  <si>
    <t>Alixio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</si>
</sst>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yyyy"/>
    <numFmt numFmtId="165" formatCode="[$-F800]dddd\,\ mmmm\ dd\,\ yyyy"/>
  </numFmts>
  <fonts count="30">
    <font>
      <sz val="11"/>
      <color theme="1"/>
      <name val="Calibri"/>
      <family val="2"/>
    </font>
    <font>
      <sz val="11"/>
      <color theme="1"/>
      <name val="Arial"/>
      <family val="2"/>
    </font>
    <font>
      <sz val="9"/>
      <color theme="1"/>
      <name val="Arial"/>
      <family val="2"/>
    </font>
    <font>
      <b/>
      <sz val="11"/>
      <color theme="1"/>
      <name val="Arial"/>
      <family val="2"/>
    </font>
    <font>
      <i/>
      <sz val="11"/>
      <color rgb="FF0000CC"/>
      <name val="Arial"/>
      <family val="2"/>
    </font>
    <font>
      <sz val="10"/>
      <color theme="1"/>
      <name val="Arial"/>
      <family val="2"/>
    </font>
    <font>
      <b/>
      <sz val="12"/>
      <color theme="1"/>
      <name val="Arial"/>
      <family val="2"/>
    </font>
    <font>
      <sz val="12"/>
      <color theme="1"/>
      <name val="Arial"/>
      <family val="2"/>
    </font>
    <font>
      <i/>
      <sz val="11"/>
      <color rgb="FF0000CC"/>
      <name val="Aarial"/>
    </font>
    <font>
      <sz val="15"/>
      <color rgb="FF0000CC"/>
      <name val="Arial"/>
      <family val="2"/>
    </font>
    <font>
      <sz val="8"/>
      <name val="Calibri"/>
      <family val="2"/>
    </font>
    <font>
      <i/>
      <sz val="9"/>
      <color rgb="FF0000CC"/>
      <name val="Arial"/>
      <family val="2"/>
    </font>
    <font>
      <sz val="13"/>
      <color theme="1"/>
      <name val="Arial Nova"/>
      <family val="2"/>
    </font>
    <font>
      <b/>
      <sz val="16"/>
      <color theme="1"/>
      <name val="Arial"/>
      <family val="2"/>
    </font>
    <font>
      <b/>
      <i/>
      <sz val="14"/>
      <color rgb="FF0000CC"/>
      <name val="Arial"/>
      <family val="2"/>
    </font>
    <font>
      <b/>
      <sz val="11"/>
      <color theme="0"/>
      <name val="Calibri"/>
      <family val="2"/>
      <scheme val="minor"/>
    </font>
    <font>
      <u/>
      <sz val="11"/>
      <color theme="10"/>
      <name val="Calibri"/>
      <family val="2"/>
    </font>
    <font>
      <i/>
      <sz val="15"/>
      <color rgb="FF0000CC"/>
      <name val="Arial"/>
      <family val="2"/>
    </font>
    <font>
      <sz val="11"/>
      <color rgb="FF000000"/>
      <name val="Calibri"/>
      <family val="2"/>
    </font>
    <font>
      <sz val="25"/>
      <color theme="0"/>
      <name val="Arial"/>
      <family val="2"/>
    </font>
    <font>
      <sz val="14"/>
      <color theme="0"/>
      <name val="Arial"/>
      <family val="2"/>
    </font>
    <font>
      <u/>
      <sz val="11"/>
      <color theme="0"/>
      <name val="Arial"/>
      <family val="2"/>
    </font>
    <font>
      <sz val="11"/>
      <color rgb="FF0000CC"/>
      <name val="Arial"/>
      <family val="2"/>
    </font>
    <font>
      <sz val="11"/>
      <color theme="0"/>
      <name val="Arial"/>
      <family val="2"/>
    </font>
    <font>
      <u/>
      <sz val="9"/>
      <color theme="10"/>
      <name val="Arial"/>
      <family val="2"/>
    </font>
    <font>
      <sz val="9"/>
      <color rgb="FF0000CC"/>
      <name val="Arial"/>
      <family val="2"/>
    </font>
    <font>
      <sz val="10"/>
      <color theme="0"/>
      <name val="Arial"/>
      <family val="2"/>
    </font>
    <font>
      <sz val="11"/>
      <color rgb="FF0000CC"/>
      <name val="Calibri"/>
      <family val="2"/>
    </font>
    <font>
      <u/>
      <sz val="11"/>
      <color rgb="FF0000CC"/>
      <name val="Calibri"/>
      <family val="2"/>
    </font>
    <font>
      <b/>
      <sz val="11"/>
      <color theme="0"/>
      <name val="Arial"/>
      <family val="2"/>
    </font>
  </fonts>
  <fills count="3">
    <fill>
      <patternFill patternType="none"/>
    </fill>
    <fill>
      <patternFill patternType="gray125"/>
    </fill>
    <fill>
      <patternFill patternType="solid">
        <fgColor rgb="FF00206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ashDot">
        <color auto="1"/>
      </left>
      <right/>
      <top style="dashDot">
        <color auto="1"/>
      </top>
      <bottom style="dashDot">
        <color auto="1"/>
      </bottom>
      <diagonal/>
    </border>
    <border>
      <left/>
      <right/>
      <top style="dashDot">
        <color auto="1"/>
      </top>
      <bottom style="dashDot">
        <color auto="1"/>
      </bottom>
      <diagonal/>
    </border>
    <border>
      <left/>
      <right style="dashDot">
        <color auto="1"/>
      </right>
      <top style="dashDot">
        <color auto="1"/>
      </top>
      <bottom style="dashDot">
        <color auto="1"/>
      </bottom>
      <diagonal/>
    </border>
    <border>
      <left/>
      <right/>
      <top/>
      <bottom style="thin">
        <color indexed="64"/>
      </bottom>
      <diagonal/>
    </border>
    <border>
      <left/>
      <right/>
      <top style="thin">
        <color indexed="64"/>
      </top>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s>
  <cellStyleXfs count="2">
    <xf numFmtId="0" fontId="0" fillId="0" borderId="0"/>
    <xf numFmtId="0" fontId="16" fillId="0" borderId="0" applyNumberFormat="0" applyFill="0" applyBorder="0" applyAlignment="0" applyProtection="0"/>
  </cellStyleXfs>
  <cellXfs count="164">
    <xf numFmtId="0" fontId="0" fillId="0" borderId="0" xfId="0"/>
    <xf numFmtId="0" fontId="0" fillId="0" borderId="1" xfId="0" applyBorder="1" applyAlignment="1">
      <alignment horizontal="left" vertical="center"/>
    </xf>
    <xf numFmtId="0" fontId="16" fillId="0" borderId="1" xfId="1" applyBorder="1" applyAlignment="1">
      <alignment horizontal="left" vertical="center"/>
    </xf>
    <xf numFmtId="0" fontId="1" fillId="0" borderId="0" xfId="0" applyFont="1" applyAlignment="1">
      <alignment horizontal="left" vertical="center"/>
    </xf>
    <xf numFmtId="0" fontId="1" fillId="0" borderId="0" xfId="0" applyFont="1"/>
    <xf numFmtId="0" fontId="1" fillId="0" borderId="0" xfId="0" applyFont="1" applyAlignment="1">
      <alignment horizontal="right"/>
    </xf>
    <xf numFmtId="0" fontId="2" fillId="0" borderId="0" xfId="0" applyFont="1" applyAlignment="1">
      <alignment horizontal="left" vertical="center"/>
    </xf>
    <xf numFmtId="0" fontId="2" fillId="0" borderId="0" xfId="0" applyFont="1"/>
    <xf numFmtId="0" fontId="2" fillId="0" borderId="0" xfId="0" applyFont="1" applyAlignment="1">
      <alignment horizontal="right"/>
    </xf>
    <xf numFmtId="0" fontId="6" fillId="0" borderId="0" xfId="0" applyFont="1" applyAlignment="1">
      <alignment horizontal="left" vertical="center"/>
    </xf>
    <xf numFmtId="0" fontId="5" fillId="0" borderId="0" xfId="0" applyFont="1"/>
    <xf numFmtId="0" fontId="6" fillId="0" borderId="0" xfId="0" applyFont="1" applyAlignment="1">
      <alignment horizontal="centerContinuous" vertical="center"/>
    </xf>
    <xf numFmtId="0" fontId="5" fillId="0" borderId="0" xfId="0" applyFont="1" applyAlignment="1">
      <alignment horizontal="centerContinuous"/>
    </xf>
    <xf numFmtId="0" fontId="5" fillId="0" borderId="0" xfId="0" applyFont="1" applyAlignment="1">
      <alignment vertical="center"/>
    </xf>
    <xf numFmtId="0" fontId="2" fillId="0" borderId="0" xfId="0" applyFont="1" applyAlignment="1">
      <alignment horizontal="left" vertical="center" indent="1"/>
    </xf>
    <xf numFmtId="0" fontId="1" fillId="0" borderId="0" xfId="0" applyFont="1" applyAlignment="1">
      <alignment horizontal="centerContinuous"/>
    </xf>
    <xf numFmtId="0" fontId="13" fillId="0" borderId="0" xfId="0" applyFont="1" applyAlignment="1">
      <alignment horizontal="left" vertical="center"/>
    </xf>
    <xf numFmtId="0" fontId="6" fillId="0" borderId="0" xfId="0" applyFont="1" applyAlignment="1">
      <alignment horizontal="left" vertical="center" indent="1"/>
    </xf>
    <xf numFmtId="0" fontId="7" fillId="0" borderId="0" xfId="0" applyFont="1"/>
    <xf numFmtId="0" fontId="1" fillId="0" borderId="8" xfId="0" applyFont="1" applyBorder="1" applyAlignment="1">
      <alignment horizontal="left" indent="1"/>
    </xf>
    <xf numFmtId="0" fontId="1" fillId="0" borderId="18" xfId="0" applyFont="1" applyBorder="1"/>
    <xf numFmtId="0" fontId="1" fillId="0" borderId="9" xfId="0" applyFont="1" applyBorder="1"/>
    <xf numFmtId="0" fontId="3" fillId="0" borderId="0" xfId="0" applyFont="1"/>
    <xf numFmtId="0" fontId="1" fillId="0" borderId="8" xfId="0" applyFont="1" applyBorder="1" applyAlignment="1">
      <alignment horizontal="left" vertical="center" indent="1"/>
    </xf>
    <xf numFmtId="0" fontId="1" fillId="0" borderId="9" xfId="0" applyFont="1" applyBorder="1" applyAlignment="1">
      <alignment horizontal="left" vertical="center" indent="1"/>
    </xf>
    <xf numFmtId="0" fontId="1" fillId="0" borderId="5" xfId="0" applyFont="1" applyBorder="1" applyAlignment="1">
      <alignment horizontal="left" vertical="center" indent="1"/>
    </xf>
    <xf numFmtId="0" fontId="1" fillId="0" borderId="9" xfId="0" applyFont="1" applyBorder="1" applyAlignment="1">
      <alignment vertical="center"/>
    </xf>
    <xf numFmtId="0" fontId="1" fillId="0" borderId="2" xfId="0" applyFont="1" applyBorder="1" applyAlignment="1">
      <alignment horizontal="left" vertical="center" indent="1"/>
    </xf>
    <xf numFmtId="0" fontId="1" fillId="0" borderId="4" xfId="0" applyFont="1" applyBorder="1" applyAlignment="1">
      <alignment horizontal="left" vertical="center" indent="1"/>
    </xf>
    <xf numFmtId="0" fontId="1" fillId="0" borderId="3" xfId="0" applyFont="1" applyBorder="1" applyAlignment="1">
      <alignment vertical="center"/>
    </xf>
    <xf numFmtId="0" fontId="1" fillId="0" borderId="4" xfId="0" applyFont="1" applyBorder="1" applyAlignment="1">
      <alignment vertical="center"/>
    </xf>
    <xf numFmtId="0" fontId="1" fillId="0" borderId="10" xfId="0" applyFont="1" applyBorder="1" applyAlignment="1">
      <alignment horizontal="left" vertical="center" indent="1"/>
    </xf>
    <xf numFmtId="0" fontId="1" fillId="0" borderId="11" xfId="0" applyFont="1" applyBorder="1" applyAlignment="1">
      <alignment horizontal="left" vertical="center" indent="1"/>
    </xf>
    <xf numFmtId="0" fontId="1" fillId="0" borderId="6" xfId="0" applyFont="1" applyBorder="1" applyAlignment="1">
      <alignment horizontal="left" vertical="center" indent="1"/>
    </xf>
    <xf numFmtId="0" fontId="1" fillId="0" borderId="11" xfId="0" applyFont="1" applyBorder="1" applyAlignment="1">
      <alignment vertical="center"/>
    </xf>
    <xf numFmtId="0" fontId="1" fillId="0" borderId="5" xfId="0" applyFont="1" applyBorder="1"/>
    <xf numFmtId="0" fontId="1" fillId="0" borderId="12" xfId="0" applyFont="1" applyBorder="1" applyAlignment="1">
      <alignment horizontal="center"/>
    </xf>
    <xf numFmtId="0" fontId="1" fillId="0" borderId="13" xfId="0" applyFont="1" applyBorder="1" applyAlignment="1">
      <alignment horizontal="center"/>
    </xf>
    <xf numFmtId="0" fontId="1" fillId="0" borderId="7" xfId="0" applyFont="1" applyBorder="1"/>
    <xf numFmtId="0" fontId="1" fillId="0" borderId="12" xfId="0" applyFont="1" applyBorder="1"/>
    <xf numFmtId="0" fontId="1" fillId="0" borderId="13" xfId="0" applyFont="1" applyBorder="1"/>
    <xf numFmtId="0" fontId="1" fillId="0" borderId="7" xfId="0" applyFont="1" applyBorder="1" applyAlignment="1">
      <alignment horizontal="center" textRotation="90" wrapText="1"/>
    </xf>
    <xf numFmtId="0" fontId="1" fillId="0" borderId="7" xfId="0" applyFont="1" applyBorder="1" applyAlignment="1">
      <alignment horizontal="left" indent="1"/>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8" fillId="0" borderId="1" xfId="0" applyFont="1" applyBorder="1" applyAlignment="1">
      <alignment horizontal="left" vertical="center" wrapText="1" indent="1"/>
    </xf>
    <xf numFmtId="0" fontId="17" fillId="0" borderId="1" xfId="0" applyFont="1" applyBorder="1" applyAlignment="1">
      <alignment horizontal="center" vertical="center"/>
    </xf>
    <xf numFmtId="0" fontId="4" fillId="0" borderId="1" xfId="0" applyFont="1" applyBorder="1" applyAlignment="1">
      <alignment horizontal="left" vertical="center" indent="1"/>
    </xf>
    <xf numFmtId="0" fontId="1" fillId="0" borderId="14" xfId="0" applyFont="1" applyBorder="1"/>
    <xf numFmtId="0" fontId="1" fillId="0" borderId="15" xfId="0" applyFont="1" applyBorder="1"/>
    <xf numFmtId="0" fontId="1" fillId="0" borderId="16" xfId="0" applyFont="1" applyBorder="1"/>
    <xf numFmtId="0" fontId="1" fillId="0" borderId="0" xfId="0" applyFont="1" applyAlignment="1">
      <alignment vertical="center"/>
    </xf>
    <xf numFmtId="0" fontId="9" fillId="0" borderId="0" xfId="0" applyFont="1" applyAlignment="1">
      <alignment horizontal="center" vertical="center"/>
    </xf>
    <xf numFmtId="0" fontId="9" fillId="0" borderId="1" xfId="0" applyFont="1" applyBorder="1" applyAlignment="1">
      <alignment horizontal="center" vertical="center"/>
    </xf>
    <xf numFmtId="165" fontId="4" fillId="0" borderId="17" xfId="0" applyNumberFormat="1" applyFont="1" applyBorder="1" applyAlignment="1">
      <alignment horizontal="left" indent="1"/>
    </xf>
    <xf numFmtId="0" fontId="1" fillId="0" borderId="17" xfId="0" applyFont="1" applyBorder="1"/>
    <xf numFmtId="0" fontId="2" fillId="0" borderId="17" xfId="0" applyFont="1" applyBorder="1" applyAlignment="1">
      <alignment horizontal="centerContinuous"/>
    </xf>
    <xf numFmtId="0" fontId="11" fillId="0" borderId="18" xfId="0" applyFont="1" applyBorder="1" applyAlignment="1">
      <alignment horizontal="centerContinuous"/>
    </xf>
    <xf numFmtId="0" fontId="19" fillId="2" borderId="0" xfId="0" applyFont="1" applyFill="1" applyAlignment="1">
      <alignment horizontal="left" vertical="center"/>
    </xf>
    <xf numFmtId="0" fontId="19" fillId="2" borderId="0" xfId="0" applyFont="1" applyFill="1" applyAlignment="1">
      <alignment horizontal="center" vertical="center"/>
    </xf>
    <xf numFmtId="0" fontId="20" fillId="2" borderId="0" xfId="0" applyFont="1" applyFill="1" applyAlignment="1">
      <alignment horizontal="left" vertical="center"/>
    </xf>
    <xf numFmtId="0" fontId="1" fillId="0" borderId="0" xfId="0" applyFont="1" applyAlignment="1">
      <alignment horizontal="center" vertical="center"/>
    </xf>
    <xf numFmtId="0" fontId="2" fillId="0" borderId="0" xfId="0" applyFont="1" applyAlignment="1">
      <alignment vertical="center"/>
    </xf>
    <xf numFmtId="0" fontId="1" fillId="0" borderId="0" xfId="0" applyFont="1" applyAlignment="1">
      <alignment horizontal="centerContinuous" vertical="center"/>
    </xf>
    <xf numFmtId="0" fontId="23" fillId="2" borderId="18" xfId="0" applyFont="1" applyFill="1" applyBorder="1" applyAlignment="1">
      <alignment horizontal="center" vertical="center"/>
    </xf>
    <xf numFmtId="0" fontId="23" fillId="2" borderId="9" xfId="0" applyFont="1" applyFill="1" applyBorder="1" applyAlignment="1">
      <alignment horizontal="center" vertical="center"/>
    </xf>
    <xf numFmtId="0" fontId="22" fillId="0" borderId="1" xfId="0" applyFont="1" applyBorder="1" applyAlignment="1" applyProtection="1">
      <alignment horizontal="center" vertical="center"/>
      <protection locked="0"/>
    </xf>
    <xf numFmtId="0" fontId="22" fillId="0" borderId="0" xfId="0" applyFont="1" applyAlignment="1">
      <alignment horizontal="center" vertical="center"/>
    </xf>
    <xf numFmtId="0" fontId="23" fillId="2" borderId="8" xfId="0" applyFont="1" applyFill="1" applyBorder="1" applyAlignment="1">
      <alignment vertical="center"/>
    </xf>
    <xf numFmtId="0" fontId="23" fillId="2" borderId="18" xfId="0" applyFont="1" applyFill="1" applyBorder="1" applyAlignment="1">
      <alignment vertical="center"/>
    </xf>
    <xf numFmtId="0" fontId="23" fillId="2" borderId="9" xfId="0" applyFont="1" applyFill="1" applyBorder="1" applyAlignment="1">
      <alignment vertical="center"/>
    </xf>
    <xf numFmtId="0" fontId="23" fillId="2" borderId="0" xfId="0" applyFont="1" applyFill="1" applyAlignment="1">
      <alignment vertical="center"/>
    </xf>
    <xf numFmtId="0" fontId="23" fillId="2" borderId="11" xfId="0" applyFont="1" applyFill="1" applyBorder="1" applyAlignment="1">
      <alignment vertical="center"/>
    </xf>
    <xf numFmtId="0" fontId="22" fillId="0" borderId="0" xfId="0" applyFont="1" applyAlignment="1">
      <alignment horizontal="left" vertical="center" indent="1"/>
    </xf>
    <xf numFmtId="0" fontId="25" fillId="0" borderId="0" xfId="0" applyFont="1" applyAlignment="1">
      <alignment horizontal="left" vertical="center" indent="1"/>
    </xf>
    <xf numFmtId="0" fontId="1" fillId="0" borderId="0" xfId="0" applyFont="1" applyAlignment="1">
      <alignment vertical="center" textRotation="90" wrapText="1"/>
    </xf>
    <xf numFmtId="0" fontId="23" fillId="2" borderId="8" xfId="0" applyFont="1" applyFill="1" applyBorder="1" applyAlignment="1">
      <alignment horizontal="left" vertical="center" indent="1"/>
    </xf>
    <xf numFmtId="0" fontId="23" fillId="2" borderId="5" xfId="0" applyFont="1" applyFill="1" applyBorder="1" applyAlignment="1">
      <alignment horizontal="left" vertical="center" indent="1"/>
    </xf>
    <xf numFmtId="0" fontId="26" fillId="2" borderId="18" xfId="0" applyFont="1" applyFill="1" applyBorder="1" applyAlignment="1">
      <alignment vertical="center"/>
    </xf>
    <xf numFmtId="0" fontId="23" fillId="2" borderId="10" xfId="0" applyFont="1" applyFill="1" applyBorder="1" applyAlignment="1">
      <alignment horizontal="left" vertical="center" indent="1"/>
    </xf>
    <xf numFmtId="0" fontId="23" fillId="2" borderId="0" xfId="0" applyFont="1" applyFill="1" applyAlignment="1">
      <alignment horizontal="center" vertical="center"/>
    </xf>
    <xf numFmtId="0" fontId="23" fillId="2" borderId="11" xfId="0" applyFont="1" applyFill="1" applyBorder="1" applyAlignment="1">
      <alignment horizontal="center" vertical="center"/>
    </xf>
    <xf numFmtId="0" fontId="26" fillId="2" borderId="0" xfId="0" applyFont="1" applyFill="1" applyAlignment="1">
      <alignment vertical="center"/>
    </xf>
    <xf numFmtId="0" fontId="23" fillId="2" borderId="12" xfId="0" applyFont="1" applyFill="1" applyBorder="1" applyAlignment="1">
      <alignment horizontal="left" vertical="center" indent="1"/>
    </xf>
    <xf numFmtId="0" fontId="23" fillId="2" borderId="17" xfId="0" applyFont="1" applyFill="1" applyBorder="1" applyAlignment="1">
      <alignment vertical="center"/>
    </xf>
    <xf numFmtId="0" fontId="23" fillId="2" borderId="13" xfId="0" applyFont="1" applyFill="1" applyBorder="1" applyAlignment="1">
      <alignment vertical="center"/>
    </xf>
    <xf numFmtId="0" fontId="22" fillId="0" borderId="0" xfId="0" applyFont="1" applyAlignment="1">
      <alignment vertical="center"/>
    </xf>
    <xf numFmtId="0" fontId="15" fillId="2" borderId="0" xfId="0" applyFont="1" applyFill="1" applyAlignment="1">
      <alignment vertical="center"/>
    </xf>
    <xf numFmtId="0" fontId="27" fillId="0" borderId="1" xfId="0" applyFont="1" applyBorder="1" applyAlignment="1">
      <alignment horizontal="left" vertical="center"/>
    </xf>
    <xf numFmtId="0" fontId="28" fillId="0" borderId="1" xfId="1" applyFont="1" applyBorder="1" applyAlignment="1">
      <alignment horizontal="left" vertical="center"/>
    </xf>
    <xf numFmtId="0" fontId="19" fillId="0" borderId="0" xfId="0" applyFont="1" applyAlignment="1">
      <alignment vertical="center"/>
    </xf>
    <xf numFmtId="0" fontId="1" fillId="0" borderId="0" xfId="0" applyFont="1" applyAlignment="1">
      <alignment horizontal="center"/>
    </xf>
    <xf numFmtId="0" fontId="29" fillId="2" borderId="0" xfId="0" applyFont="1" applyFill="1" applyAlignment="1">
      <alignment vertical="center"/>
    </xf>
    <xf numFmtId="0" fontId="1" fillId="0" borderId="1" xfId="0" applyFont="1" applyBorder="1"/>
    <xf numFmtId="0" fontId="1" fillId="0" borderId="1" xfId="0" applyFont="1" applyBorder="1" applyAlignment="1">
      <alignment horizontal="center" vertical="center"/>
    </xf>
    <xf numFmtId="0" fontId="22" fillId="0" borderId="1" xfId="0" applyFont="1" applyBorder="1"/>
    <xf numFmtId="0" fontId="23" fillId="2" borderId="17" xfId="0" applyFont="1" applyFill="1" applyBorder="1" applyAlignment="1">
      <alignment horizontal="left" indent="1"/>
    </xf>
    <xf numFmtId="0" fontId="19" fillId="2" borderId="0" xfId="0" applyFont="1" applyFill="1" applyAlignment="1">
      <alignment vertical="center"/>
    </xf>
    <xf numFmtId="0" fontId="0" fillId="0" borderId="0" xfId="0" applyAlignment="1">
      <alignment vertical="center"/>
    </xf>
    <xf numFmtId="0" fontId="27" fillId="0" borderId="0" xfId="0" applyFont="1" applyAlignment="1">
      <alignment vertical="center"/>
    </xf>
    <xf numFmtId="0" fontId="21" fillId="2" borderId="0" xfId="1" applyFont="1" applyFill="1" applyAlignment="1" applyProtection="1">
      <alignment horizontal="right" vertical="center"/>
    </xf>
    <xf numFmtId="0" fontId="23" fillId="2" borderId="8" xfId="0" applyFont="1" applyFill="1" applyBorder="1" applyAlignment="1">
      <alignment horizontal="center" vertical="center" wrapText="1"/>
    </xf>
    <xf numFmtId="0" fontId="23" fillId="2" borderId="9" xfId="0" applyFont="1" applyFill="1" applyBorder="1" applyAlignment="1">
      <alignment horizontal="center" vertical="center" wrapText="1"/>
    </xf>
    <xf numFmtId="0" fontId="23" fillId="2" borderId="12" xfId="0" applyFont="1" applyFill="1" applyBorder="1" applyAlignment="1">
      <alignment horizontal="center" vertical="center" wrapText="1"/>
    </xf>
    <xf numFmtId="0" fontId="23" fillId="2" borderId="13" xfId="0" applyFont="1" applyFill="1" applyBorder="1" applyAlignment="1">
      <alignment horizontal="center" vertical="center" wrapText="1"/>
    </xf>
    <xf numFmtId="0" fontId="23" fillId="2" borderId="8" xfId="0" applyFont="1" applyFill="1" applyBorder="1" applyAlignment="1">
      <alignment horizontal="center" vertical="center"/>
    </xf>
    <xf numFmtId="0" fontId="23" fillId="2" borderId="18" xfId="0" applyFont="1" applyFill="1" applyBorder="1" applyAlignment="1">
      <alignment horizontal="center" vertical="center"/>
    </xf>
    <xf numFmtId="0" fontId="23" fillId="2" borderId="9" xfId="0" applyFont="1" applyFill="1" applyBorder="1" applyAlignment="1">
      <alignment horizontal="center" vertical="center"/>
    </xf>
    <xf numFmtId="0" fontId="23" fillId="2" borderId="12" xfId="0" applyFont="1" applyFill="1" applyBorder="1" applyAlignment="1">
      <alignment horizontal="center" vertical="center"/>
    </xf>
    <xf numFmtId="0" fontId="23" fillId="2" borderId="17" xfId="0" applyFont="1" applyFill="1" applyBorder="1" applyAlignment="1">
      <alignment horizontal="center" vertical="center"/>
    </xf>
    <xf numFmtId="0" fontId="23" fillId="2" borderId="13" xfId="0" applyFont="1" applyFill="1" applyBorder="1" applyAlignment="1">
      <alignment horizontal="center" vertical="center"/>
    </xf>
    <xf numFmtId="0" fontId="1" fillId="0" borderId="0" xfId="0" applyFont="1" applyAlignment="1">
      <alignment horizontal="left" vertical="center" wrapText="1"/>
    </xf>
    <xf numFmtId="0" fontId="22" fillId="0" borderId="2" xfId="0" applyFont="1" applyBorder="1" applyAlignment="1" applyProtection="1">
      <alignment horizontal="left" vertical="center"/>
      <protection locked="0"/>
    </xf>
    <xf numFmtId="0" fontId="22" fillId="0" borderId="3" xfId="0" applyFont="1" applyBorder="1" applyAlignment="1" applyProtection="1">
      <alignment horizontal="left" vertical="center"/>
      <protection locked="0"/>
    </xf>
    <xf numFmtId="0" fontId="22" fillId="0" borderId="4" xfId="0" applyFont="1" applyBorder="1" applyAlignment="1" applyProtection="1">
      <alignment horizontal="left" vertical="center"/>
      <protection locked="0"/>
    </xf>
    <xf numFmtId="0" fontId="22" fillId="0" borderId="1" xfId="0" applyFont="1" applyBorder="1" applyAlignment="1" applyProtection="1">
      <alignment horizontal="center" vertical="center"/>
      <protection locked="0"/>
    </xf>
    <xf numFmtId="0" fontId="22" fillId="0" borderId="8" xfId="0" applyFont="1" applyBorder="1" applyAlignment="1" applyProtection="1">
      <alignment horizontal="left" vertical="center" indent="1"/>
      <protection locked="0"/>
    </xf>
    <xf numFmtId="0" fontId="22" fillId="0" borderId="18" xfId="0" applyFont="1" applyBorder="1" applyAlignment="1" applyProtection="1">
      <alignment horizontal="left" vertical="center" indent="1"/>
      <protection locked="0"/>
    </xf>
    <xf numFmtId="0" fontId="22" fillId="0" borderId="9" xfId="0" applyFont="1" applyBorder="1" applyAlignment="1" applyProtection="1">
      <alignment horizontal="left" vertical="center" indent="1"/>
      <protection locked="0"/>
    </xf>
    <xf numFmtId="0" fontId="22" fillId="0" borderId="10" xfId="0" applyFont="1" applyBorder="1" applyAlignment="1" applyProtection="1">
      <alignment horizontal="left" vertical="center" indent="1"/>
      <protection locked="0"/>
    </xf>
    <xf numFmtId="0" fontId="22" fillId="0" borderId="0" xfId="0" applyFont="1" applyAlignment="1" applyProtection="1">
      <alignment horizontal="left" vertical="center" indent="1"/>
      <protection locked="0"/>
    </xf>
    <xf numFmtId="0" fontId="22" fillId="0" borderId="11" xfId="0" applyFont="1" applyBorder="1" applyAlignment="1" applyProtection="1">
      <alignment horizontal="left" vertical="center" indent="1"/>
      <protection locked="0"/>
    </xf>
    <xf numFmtId="0" fontId="22" fillId="0" borderId="12" xfId="0" applyFont="1" applyBorder="1" applyAlignment="1" applyProtection="1">
      <alignment horizontal="left" vertical="center" indent="1"/>
      <protection locked="0"/>
    </xf>
    <xf numFmtId="0" fontId="22" fillId="0" borderId="17" xfId="0" applyFont="1" applyBorder="1" applyAlignment="1" applyProtection="1">
      <alignment horizontal="left" vertical="center" indent="1"/>
      <protection locked="0"/>
    </xf>
    <xf numFmtId="0" fontId="22" fillId="0" borderId="13" xfId="0" applyFont="1" applyBorder="1" applyAlignment="1" applyProtection="1">
      <alignment horizontal="left" vertical="center" indent="1"/>
      <protection locked="0"/>
    </xf>
    <xf numFmtId="0" fontId="22" fillId="0" borderId="19" xfId="0" applyFont="1" applyBorder="1" applyAlignment="1" applyProtection="1">
      <alignment horizontal="left" vertical="center" indent="1"/>
      <protection locked="0"/>
    </xf>
    <xf numFmtId="0" fontId="22" fillId="0" borderId="20" xfId="0" applyFont="1" applyBorder="1" applyAlignment="1" applyProtection="1">
      <alignment horizontal="left" vertical="center" indent="1"/>
      <protection locked="0"/>
    </xf>
    <xf numFmtId="0" fontId="22" fillId="0" borderId="21" xfId="0" applyFont="1" applyBorder="1" applyAlignment="1" applyProtection="1">
      <alignment horizontal="left" vertical="center" indent="1"/>
      <protection locked="0"/>
    </xf>
    <xf numFmtId="0" fontId="22" fillId="0" borderId="1" xfId="0" applyFont="1" applyBorder="1" applyAlignment="1" applyProtection="1">
      <alignment horizontal="left" vertical="center" indent="1"/>
      <protection locked="0"/>
    </xf>
    <xf numFmtId="0" fontId="22" fillId="0" borderId="22" xfId="0" applyFont="1" applyBorder="1" applyAlignment="1" applyProtection="1">
      <alignment horizontal="left" vertical="center" indent="1"/>
      <protection locked="0"/>
    </xf>
    <xf numFmtId="0" fontId="22" fillId="0" borderId="23" xfId="0" applyFont="1" applyBorder="1" applyAlignment="1" applyProtection="1">
      <alignment horizontal="left" vertical="center" indent="1"/>
      <protection locked="0"/>
    </xf>
    <xf numFmtId="0" fontId="22" fillId="0" borderId="24" xfId="0" applyFont="1" applyBorder="1" applyAlignment="1" applyProtection="1">
      <alignment horizontal="left" vertical="center" indent="1"/>
      <protection locked="0"/>
    </xf>
    <xf numFmtId="0" fontId="22" fillId="0" borderId="25" xfId="0" applyFont="1" applyBorder="1" applyAlignment="1" applyProtection="1">
      <alignment horizontal="left" vertical="center" indent="1"/>
      <protection locked="0"/>
    </xf>
    <xf numFmtId="0" fontId="22" fillId="0" borderId="26" xfId="0" applyFont="1" applyBorder="1" applyAlignment="1" applyProtection="1">
      <alignment horizontal="left" vertical="center" indent="1"/>
      <protection locked="0"/>
    </xf>
    <xf numFmtId="0" fontId="22" fillId="0" borderId="27" xfId="0" applyFont="1" applyBorder="1" applyAlignment="1" applyProtection="1">
      <alignment horizontal="left" vertical="center" indent="1"/>
      <protection locked="0"/>
    </xf>
    <xf numFmtId="0" fontId="22" fillId="0" borderId="2" xfId="0" applyFont="1" applyBorder="1" applyAlignment="1" applyProtection="1">
      <alignment horizontal="center" vertical="center"/>
      <protection locked="0"/>
    </xf>
    <xf numFmtId="0" fontId="22" fillId="0" borderId="3" xfId="0" applyFont="1" applyBorder="1" applyAlignment="1" applyProtection="1">
      <alignment horizontal="center" vertical="center"/>
      <protection locked="0"/>
    </xf>
    <xf numFmtId="0" fontId="22" fillId="0" borderId="4" xfId="0" applyFont="1" applyBorder="1" applyAlignment="1" applyProtection="1">
      <alignment horizontal="center" vertical="center"/>
      <protection locked="0"/>
    </xf>
    <xf numFmtId="0" fontId="22" fillId="0" borderId="2" xfId="0" applyFont="1" applyBorder="1" applyAlignment="1" applyProtection="1">
      <alignment horizontal="left" vertical="center" indent="1"/>
      <protection locked="0"/>
    </xf>
    <xf numFmtId="0" fontId="22" fillId="0" borderId="3" xfId="0" applyFont="1" applyBorder="1" applyAlignment="1" applyProtection="1">
      <alignment horizontal="left" vertical="center" indent="1"/>
      <protection locked="0"/>
    </xf>
    <xf numFmtId="0" fontId="22" fillId="0" borderId="4" xfId="0" applyFont="1" applyBorder="1" applyAlignment="1" applyProtection="1">
      <alignment horizontal="left" vertical="center" indent="1"/>
      <protection locked="0"/>
    </xf>
    <xf numFmtId="0" fontId="24" fillId="0" borderId="0" xfId="1" applyFont="1" applyAlignment="1" applyProtection="1">
      <alignment horizontal="left" vertical="center"/>
    </xf>
    <xf numFmtId="0" fontId="1" fillId="0" borderId="0" xfId="0" applyFont="1" applyAlignment="1">
      <alignment horizontal="left" vertical="center"/>
    </xf>
    <xf numFmtId="0" fontId="23" fillId="2" borderId="18" xfId="0" applyFont="1" applyFill="1" applyBorder="1" applyAlignment="1">
      <alignment horizontal="center" textRotation="90" wrapText="1"/>
    </xf>
    <xf numFmtId="0" fontId="23" fillId="2" borderId="0" xfId="0" applyFont="1" applyFill="1" applyAlignment="1">
      <alignment horizontal="center" textRotation="90" wrapText="1"/>
    </xf>
    <xf numFmtId="0" fontId="23" fillId="2" borderId="17" xfId="0" applyFont="1" applyFill="1" applyBorder="1" applyAlignment="1">
      <alignment horizontal="center" textRotation="90" wrapText="1"/>
    </xf>
    <xf numFmtId="0" fontId="23" fillId="2" borderId="5" xfId="0" applyFont="1" applyFill="1" applyBorder="1" applyAlignment="1">
      <alignment horizontal="center" textRotation="90" wrapText="1"/>
    </xf>
    <xf numFmtId="0" fontId="23" fillId="2" borderId="6" xfId="0" applyFont="1" applyFill="1" applyBorder="1" applyAlignment="1">
      <alignment horizontal="center" textRotation="90" wrapText="1"/>
    </xf>
    <xf numFmtId="0" fontId="23" fillId="2" borderId="8" xfId="0" applyFont="1" applyFill="1" applyBorder="1" applyAlignment="1">
      <alignment horizontal="center" textRotation="90" wrapText="1"/>
    </xf>
    <xf numFmtId="0" fontId="23" fillId="2" borderId="10" xfId="0" applyFont="1" applyFill="1" applyBorder="1" applyAlignment="1">
      <alignment horizontal="center" textRotation="90" wrapText="1"/>
    </xf>
    <xf numFmtId="0" fontId="23" fillId="2" borderId="12" xfId="0" applyFont="1" applyFill="1" applyBorder="1" applyAlignment="1">
      <alignment horizontal="center" textRotation="90" wrapText="1"/>
    </xf>
    <xf numFmtId="164" fontId="14" fillId="0" borderId="12" xfId="0" applyNumberFormat="1" applyFont="1" applyBorder="1" applyAlignment="1">
      <alignment horizontal="left" vertical="center" indent="1"/>
    </xf>
    <xf numFmtId="164" fontId="14" fillId="0" borderId="17" xfId="0" applyNumberFormat="1" applyFont="1" applyBorder="1" applyAlignment="1">
      <alignment horizontal="left" vertical="center" indent="1"/>
    </xf>
    <xf numFmtId="164" fontId="14" fillId="0" borderId="13" xfId="0" applyNumberFormat="1" applyFont="1" applyBorder="1" applyAlignment="1">
      <alignment horizontal="left" vertical="center" indent="1"/>
    </xf>
    <xf numFmtId="0" fontId="12" fillId="0" borderId="0" xfId="0" applyFont="1" applyAlignment="1">
      <alignment horizontal="left" vertical="center" wrapText="1"/>
    </xf>
    <xf numFmtId="0" fontId="4" fillId="0" borderId="2" xfId="0" applyFont="1" applyBorder="1" applyAlignment="1">
      <alignment horizontal="left" vertical="center" wrapText="1" indent="1"/>
    </xf>
    <xf numFmtId="0" fontId="4" fillId="0" borderId="4" xfId="0" applyFont="1" applyBorder="1" applyAlignment="1">
      <alignment horizontal="left" vertical="center" wrapText="1" indent="1"/>
    </xf>
    <xf numFmtId="0" fontId="14" fillId="0" borderId="12" xfId="0" applyFont="1" applyBorder="1" applyAlignment="1">
      <alignment horizontal="left" vertical="center" indent="1"/>
    </xf>
    <xf numFmtId="0" fontId="14" fillId="0" borderId="17" xfId="0" applyFont="1" applyBorder="1" applyAlignment="1">
      <alignment horizontal="left" vertical="center" indent="1"/>
    </xf>
    <xf numFmtId="0" fontId="14" fillId="0" borderId="13" xfId="0" applyFont="1" applyBorder="1" applyAlignment="1">
      <alignment horizontal="left" vertical="center" indent="1"/>
    </xf>
    <xf numFmtId="0" fontId="1" fillId="0" borderId="5" xfId="0" applyFont="1" applyBorder="1" applyAlignment="1">
      <alignment horizontal="center" textRotation="90"/>
    </xf>
    <xf numFmtId="0" fontId="1" fillId="0" borderId="6" xfId="0" applyFont="1" applyBorder="1" applyAlignment="1">
      <alignment horizontal="center" textRotation="90"/>
    </xf>
    <xf numFmtId="0" fontId="1" fillId="0" borderId="7" xfId="0" applyFont="1" applyBorder="1" applyAlignment="1">
      <alignment horizontal="center" textRotation="90"/>
    </xf>
    <xf numFmtId="0" fontId="4" fillId="0" borderId="17" xfId="0" applyFont="1" applyBorder="1" applyAlignment="1">
      <alignment horizontal="left" indent="1"/>
    </xf>
  </cellXfs>
  <cellStyles count="2">
    <cellStyle name="Link" xfId="1" builtinId="8"/>
    <cellStyle name="Standard" xfId="0" builtinId="0"/>
  </cellStyles>
  <dxfs count="0"/>
  <tableStyles count="0" defaultTableStyle="TableStyleMedium2" defaultPivotStyle="PivotStyleLight16"/>
  <colors>
    <mruColors>
      <color rgb="FF0000CC"/>
      <color rgb="FFFFAF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12700</xdr:colOff>
          <xdr:row>6</xdr:row>
          <xdr:rowOff>127000</xdr:rowOff>
        </xdr:from>
        <xdr:to>
          <xdr:col>60</xdr:col>
          <xdr:colOff>165100</xdr:colOff>
          <xdr:row>8</xdr:row>
          <xdr:rowOff>177800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Print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632460</xdr:colOff>
      <xdr:row>21</xdr:row>
      <xdr:rowOff>388620</xdr:rowOff>
    </xdr:from>
    <xdr:to>
      <xdr:col>17</xdr:col>
      <xdr:colOff>1844040</xdr:colOff>
      <xdr:row>21</xdr:row>
      <xdr:rowOff>876300</xdr:rowOff>
    </xdr:to>
    <xdr:pic>
      <xdr:nvPicPr>
        <xdr:cNvPr id="7" name="image1.png">
          <a:extLst>
            <a:ext uri="{FF2B5EF4-FFF2-40B4-BE49-F238E27FC236}">
              <a16:creationId xmlns:a16="http://schemas.microsoft.com/office/drawing/2014/main" id="{00000000-0008-0000-0100-000007000000}"/>
            </a:ext>
          </a:extLst>
        </xdr:cNvPr>
        <xdr:cNvPicPr/>
      </xdr:nvPicPr>
      <xdr:blipFill>
        <a:blip xmlns:r="http://schemas.openxmlformats.org/officeDocument/2006/relationships" r:embed="rId1" cstate="print"/>
        <a:stretch>
          <a:fillRect/>
        </a:stretch>
      </xdr:blipFill>
      <xdr:spPr>
        <a:xfrm>
          <a:off x="11513820" y="8679180"/>
          <a:ext cx="1211580" cy="487680"/>
        </a:xfrm>
        <a:prstGeom prst="rect">
          <a:avLst/>
        </a:prstGeom>
      </xdr:spPr>
    </xdr:pic>
    <xdr:clientData/>
  </xdr:twoCellAnchor>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www.ahv-iv.ch/EN/" TargetMode="External"/><Relationship Id="rId2" Type="http://schemas.openxmlformats.org/officeDocument/2006/relationships/hyperlink" Target="https://www.ahv-iv.ch/EN/" TargetMode="External"/><Relationship Id="rId1" Type="http://schemas.openxmlformats.org/officeDocument/2006/relationships/hyperlink" Target="https://www.ahv-iv.ch/de/" TargetMode="Externa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FB2BB-8FF8-4D68-8A38-4CA7BFE9AFF9}">
  <sheetPr codeName="Tabelle1">
    <pageSetUpPr fitToPage="1"/>
  </sheetPr>
  <dimension ref="A1:BK58"/>
  <sheetViews>
    <sheetView showGridLines="0" zoomScaleNormal="100" workbookViewId="0">
      <pane xSplit="1" ySplit="13" topLeftCell="B14" activePane="bottomRight" state="frozen"/>
      <selection pane="topRight" activeCell="B1" sqref="B1"/>
      <selection pane="bottomLeft" activeCell="A15" sqref="A15"/>
      <selection pane="bottomRight" activeCell="B2" sqref="B2"/>
    </sheetView>
  </sheetViews>
  <sheetFormatPr baseColWidth="10" defaultColWidth="3.1640625" defaultRowHeight="14"/>
  <cols>
    <col min="1" max="1" width="2.5" style="51" customWidth="1"/>
    <col min="2" max="5" width="3.5" style="61" customWidth="1"/>
    <col min="6" max="17" width="3.1640625" style="61"/>
    <col min="18" max="33" width="3.1640625" style="51"/>
    <col min="34" max="34" width="1.5" style="51" customWidth="1"/>
    <col min="35" max="35" width="4" style="51" customWidth="1"/>
    <col min="36" max="36" width="1.5" style="51" customWidth="1"/>
    <col min="37" max="41" width="6.83203125" style="51" customWidth="1"/>
    <col min="42" max="42" width="1.5" style="51" customWidth="1"/>
    <col min="43" max="46" width="4" style="51" customWidth="1"/>
    <col min="47" max="16384" width="3.1640625" style="51"/>
  </cols>
  <sheetData>
    <row r="1" spans="1:63" ht="31">
      <c r="A1" s="58"/>
      <c r="B1" s="58" t="s">
        <v>203</v>
      </c>
      <c r="C1" s="59"/>
      <c r="D1" s="59"/>
      <c r="E1" s="59"/>
      <c r="F1" s="59"/>
      <c r="G1" s="59"/>
      <c r="H1" s="59"/>
      <c r="I1" s="59"/>
      <c r="J1" s="59"/>
      <c r="K1" s="59"/>
      <c r="L1" s="59"/>
      <c r="M1" s="59"/>
      <c r="N1" s="59"/>
      <c r="O1" s="59"/>
      <c r="P1" s="59"/>
      <c r="Q1" s="59"/>
      <c r="R1" s="60" t="str">
        <f>+Sprachen!B33</f>
        <v>Formular "Nachweis der persönlichen Arbeitsbemühungen"</v>
      </c>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100" t="str">
        <f>+HYPERLINK(Sprachen!B32)</f>
        <v>https://www.arbeit.swiss/secoalv/de/home.html</v>
      </c>
      <c r="AV1" s="100"/>
      <c r="AW1" s="100"/>
      <c r="AX1" s="100"/>
      <c r="AY1" s="100"/>
      <c r="AZ1" s="100"/>
      <c r="BA1" s="100"/>
      <c r="BB1" s="100"/>
      <c r="BC1" s="100"/>
      <c r="BD1" s="100"/>
      <c r="BE1" s="100"/>
      <c r="BF1" s="100"/>
      <c r="BG1" s="100"/>
      <c r="BH1" s="100"/>
      <c r="BI1" s="100"/>
      <c r="BJ1" s="59"/>
      <c r="BK1" s="59"/>
    </row>
    <row r="2" spans="1:63">
      <c r="T2" s="6"/>
      <c r="U2" s="62"/>
      <c r="V2" s="62"/>
      <c r="W2" s="62"/>
      <c r="X2" s="62"/>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row>
    <row r="3" spans="1:63" ht="22.25" customHeight="1">
      <c r="B3" s="111" t="str">
        <f>+Sprachen!B4</f>
        <v>Sprache</v>
      </c>
      <c r="C3" s="111"/>
      <c r="D3" s="111"/>
      <c r="E3" s="111"/>
      <c r="F3" s="51"/>
      <c r="G3" s="135" t="s">
        <v>44</v>
      </c>
      <c r="H3" s="136"/>
      <c r="I3" s="136"/>
      <c r="J3" s="137"/>
      <c r="L3" s="6" t="str">
        <f>+Sprachen!B6</f>
        <v>(bitte auswählen)</v>
      </c>
      <c r="R3" s="61"/>
      <c r="W3" s="62"/>
      <c r="AK3" s="101" t="str">
        <f>+Sprachen!B27</f>
        <v>Pensum</v>
      </c>
      <c r="AL3" s="102"/>
      <c r="AM3" s="105" t="str">
        <f>+Sprachen!B28</f>
        <v>Bewerbung</v>
      </c>
      <c r="AN3" s="106"/>
      <c r="AO3" s="107"/>
      <c r="AQ3" s="105" t="str">
        <f>+Sprachen!B29</f>
        <v>Ergebnis der Bewerbung</v>
      </c>
      <c r="AR3" s="106"/>
      <c r="AS3" s="106"/>
      <c r="AT3" s="106"/>
      <c r="AU3" s="106"/>
      <c r="AV3" s="106"/>
      <c r="AW3" s="106"/>
      <c r="AX3" s="106"/>
      <c r="AY3" s="106"/>
      <c r="AZ3" s="106"/>
      <c r="BA3" s="106"/>
      <c r="BB3" s="106"/>
      <c r="BC3" s="106"/>
      <c r="BD3" s="106"/>
      <c r="BE3" s="106"/>
      <c r="BF3" s="106"/>
      <c r="BG3" s="106"/>
      <c r="BH3" s="106"/>
      <c r="BI3" s="106"/>
      <c r="BJ3" s="107"/>
    </row>
    <row r="4" spans="1:63" ht="6" customHeight="1">
      <c r="B4" s="51"/>
      <c r="R4" s="61"/>
      <c r="S4" s="61"/>
      <c r="U4" s="6"/>
      <c r="V4" s="62"/>
      <c r="W4" s="62"/>
      <c r="X4" s="62"/>
      <c r="Y4" s="62"/>
      <c r="AK4" s="103"/>
      <c r="AL4" s="104"/>
      <c r="AM4" s="108"/>
      <c r="AN4" s="109"/>
      <c r="AO4" s="110"/>
      <c r="AQ4" s="108"/>
      <c r="AR4" s="109"/>
      <c r="AS4" s="109"/>
      <c r="AT4" s="109"/>
      <c r="AU4" s="109"/>
      <c r="AV4" s="109"/>
      <c r="AW4" s="109"/>
      <c r="AX4" s="109"/>
      <c r="AY4" s="109"/>
      <c r="AZ4" s="109"/>
      <c r="BA4" s="109"/>
      <c r="BB4" s="109"/>
      <c r="BC4" s="109"/>
      <c r="BD4" s="109"/>
      <c r="BE4" s="109"/>
      <c r="BF4" s="109"/>
      <c r="BG4" s="109"/>
      <c r="BH4" s="109"/>
      <c r="BI4" s="109"/>
      <c r="BJ4" s="110"/>
    </row>
    <row r="5" spans="1:63" ht="22.25" customHeight="1">
      <c r="B5" s="3" t="s">
        <v>17</v>
      </c>
      <c r="C5" s="51"/>
      <c r="E5" s="51"/>
      <c r="F5" s="51"/>
      <c r="G5" s="66"/>
      <c r="H5" s="66"/>
      <c r="I5" s="66"/>
      <c r="K5" s="66"/>
      <c r="L5" s="66"/>
      <c r="M5" s="66"/>
      <c r="N5" s="66"/>
      <c r="P5" s="66"/>
      <c r="Q5" s="66"/>
      <c r="R5" s="66"/>
      <c r="S5" s="66"/>
      <c r="T5" s="61"/>
      <c r="U5" s="66"/>
      <c r="V5" s="66"/>
      <c r="W5" s="62"/>
      <c r="X5" s="141" t="str">
        <f>HYPERLINK(Sprachen!B31)</f>
        <v>https://www.ahv-iv.ch/de/</v>
      </c>
      <c r="Y5" s="141"/>
      <c r="Z5" s="141"/>
      <c r="AA5" s="141"/>
      <c r="AB5" s="141"/>
      <c r="AC5" s="141"/>
      <c r="AD5" s="141"/>
      <c r="AE5" s="141"/>
      <c r="AF5" s="141"/>
      <c r="AG5" s="61"/>
      <c r="AH5" s="67"/>
      <c r="AI5" s="67"/>
      <c r="AJ5" s="67"/>
      <c r="AK5" s="148" t="str">
        <f>+Sprachen!B18</f>
        <v xml:space="preserve"> Vollzeit</v>
      </c>
      <c r="AL5" s="143" t="str">
        <f>+Sprachen!B19</f>
        <v xml:space="preserve"> Teilzeit (%)</v>
      </c>
      <c r="AM5" s="143" t="str">
        <f>+Sprachen!B20</f>
        <v xml:space="preserve"> Brieflich/ elektronisch</v>
      </c>
      <c r="AN5" s="143" t="str">
        <f>+Sprachen!B21</f>
        <v xml:space="preserve"> Persönlich</v>
      </c>
      <c r="AO5" s="143" t="str">
        <f>+Sprachen!B22</f>
        <v xml:space="preserve"> Telefonisch</v>
      </c>
      <c r="AQ5" s="143" t="str">
        <f>+Sprachen!B23</f>
        <v xml:space="preserve"> noch offen</v>
      </c>
      <c r="AR5" s="143" t="str">
        <f>+Sprachen!B24</f>
        <v xml:space="preserve"> Vorstellungs- gespräch</v>
      </c>
      <c r="AS5" s="143" t="str">
        <f>+Sprachen!B25</f>
        <v xml:space="preserve"> Anstellung</v>
      </c>
      <c r="AT5" s="143" t="str">
        <f>+Sprachen!B26</f>
        <v xml:space="preserve"> Absage</v>
      </c>
      <c r="AU5" s="69"/>
      <c r="AV5" s="69"/>
      <c r="AW5" s="69"/>
      <c r="AX5" s="69"/>
      <c r="AY5" s="69"/>
      <c r="AZ5" s="69"/>
      <c r="BA5" s="69"/>
      <c r="BB5" s="69"/>
      <c r="BC5" s="69"/>
      <c r="BD5" s="69"/>
      <c r="BE5" s="69"/>
      <c r="BF5" s="69"/>
      <c r="BG5" s="69"/>
      <c r="BH5" s="69"/>
      <c r="BI5" s="69"/>
      <c r="BJ5" s="70"/>
    </row>
    <row r="6" spans="1:63" ht="6" customHeight="1">
      <c r="B6" s="51"/>
      <c r="R6" s="61"/>
      <c r="S6" s="61"/>
      <c r="U6" s="6"/>
      <c r="V6" s="62"/>
      <c r="W6" s="62"/>
      <c r="X6" s="62"/>
      <c r="Y6" s="62"/>
      <c r="AK6" s="149"/>
      <c r="AL6" s="144"/>
      <c r="AM6" s="144"/>
      <c r="AN6" s="144"/>
      <c r="AO6" s="144"/>
      <c r="AQ6" s="144"/>
      <c r="AR6" s="144"/>
      <c r="AS6" s="144"/>
      <c r="AT6" s="144"/>
      <c r="AU6" s="71"/>
      <c r="AV6" s="71"/>
      <c r="AW6" s="71"/>
      <c r="AX6" s="71"/>
      <c r="AY6" s="71"/>
      <c r="AZ6" s="71"/>
      <c r="BA6" s="71"/>
      <c r="BB6" s="71"/>
      <c r="BC6" s="71"/>
      <c r="BD6" s="71"/>
      <c r="BE6" s="71"/>
      <c r="BF6" s="71"/>
      <c r="BG6" s="71"/>
      <c r="BH6" s="71"/>
      <c r="BI6" s="71"/>
      <c r="BJ6" s="72"/>
    </row>
    <row r="7" spans="1:63" ht="22.25" customHeight="1">
      <c r="B7" s="51" t="str">
        <f>+Sprachen!B7</f>
        <v>Name</v>
      </c>
      <c r="C7" s="51"/>
      <c r="D7" s="51"/>
      <c r="E7" s="51"/>
      <c r="F7" s="51"/>
      <c r="G7" s="138"/>
      <c r="H7" s="139"/>
      <c r="I7" s="139"/>
      <c r="J7" s="139"/>
      <c r="K7" s="139"/>
      <c r="L7" s="139"/>
      <c r="M7" s="139"/>
      <c r="N7" s="139"/>
      <c r="O7" s="139"/>
      <c r="P7" s="139"/>
      <c r="Q7" s="139"/>
      <c r="R7" s="139"/>
      <c r="S7" s="139"/>
      <c r="T7" s="139"/>
      <c r="U7" s="139"/>
      <c r="V7" s="140"/>
      <c r="X7" s="3" t="str">
        <f>Sprachen!B35</f>
        <v>Monat:</v>
      </c>
      <c r="Y7" s="3"/>
      <c r="Z7" s="3"/>
      <c r="AA7" s="138" t="s">
        <v>197</v>
      </c>
      <c r="AB7" s="139"/>
      <c r="AC7" s="139"/>
      <c r="AD7" s="139"/>
      <c r="AE7" s="139"/>
      <c r="AF7" s="140"/>
      <c r="AI7" s="146" t="str">
        <f>+Sprachen!B17</f>
        <v xml:space="preserve"> Zuweisung RAV</v>
      </c>
      <c r="AK7" s="149"/>
      <c r="AL7" s="144"/>
      <c r="AM7" s="144"/>
      <c r="AN7" s="144"/>
      <c r="AO7" s="144"/>
      <c r="AQ7" s="144"/>
      <c r="AR7" s="144"/>
      <c r="AS7" s="144"/>
      <c r="AT7" s="144"/>
      <c r="AU7" s="71"/>
      <c r="AV7" s="71"/>
      <c r="AW7" s="71"/>
      <c r="AX7" s="71"/>
      <c r="AY7" s="71"/>
      <c r="AZ7" s="71"/>
      <c r="BA7" s="71"/>
      <c r="BB7" s="71"/>
      <c r="BC7" s="71"/>
      <c r="BD7" s="71"/>
      <c r="BE7" s="71"/>
      <c r="BF7" s="71"/>
      <c r="BG7" s="71"/>
      <c r="BH7" s="71"/>
      <c r="BI7" s="71"/>
      <c r="BJ7" s="72"/>
    </row>
    <row r="8" spans="1:63" ht="6" customHeight="1">
      <c r="B8" s="51"/>
      <c r="G8" s="73"/>
      <c r="H8" s="73"/>
      <c r="I8" s="73"/>
      <c r="J8" s="73"/>
      <c r="K8" s="73"/>
      <c r="L8" s="73"/>
      <c r="M8" s="73"/>
      <c r="N8" s="73"/>
      <c r="O8" s="73"/>
      <c r="P8" s="73"/>
      <c r="Q8" s="73"/>
      <c r="R8" s="73"/>
      <c r="S8" s="73"/>
      <c r="T8" s="73"/>
      <c r="U8" s="74"/>
      <c r="V8" s="74"/>
      <c r="W8" s="74"/>
      <c r="X8" s="6"/>
      <c r="Y8" s="6"/>
      <c r="Z8" s="3"/>
      <c r="AI8" s="147"/>
      <c r="AK8" s="149"/>
      <c r="AL8" s="144"/>
      <c r="AM8" s="144"/>
      <c r="AN8" s="144"/>
      <c r="AO8" s="144"/>
      <c r="AQ8" s="144"/>
      <c r="AR8" s="144"/>
      <c r="AS8" s="144"/>
      <c r="AT8" s="144"/>
      <c r="AU8" s="71"/>
      <c r="AV8" s="71"/>
      <c r="AW8" s="71"/>
      <c r="AX8" s="71"/>
      <c r="AY8" s="71"/>
      <c r="AZ8" s="71"/>
      <c r="BA8" s="71"/>
      <c r="BB8" s="71"/>
      <c r="BC8" s="71"/>
      <c r="BD8" s="71"/>
      <c r="BE8" s="71"/>
      <c r="BF8" s="71"/>
      <c r="BG8" s="71"/>
      <c r="BH8" s="71"/>
      <c r="BI8" s="71"/>
      <c r="BJ8" s="72"/>
    </row>
    <row r="9" spans="1:63" ht="22.25" customHeight="1">
      <c r="B9" s="51" t="str">
        <f>+Sprachen!B8</f>
        <v>Vorname</v>
      </c>
      <c r="C9" s="62"/>
      <c r="D9" s="62"/>
      <c r="E9" s="62"/>
      <c r="G9" s="138"/>
      <c r="H9" s="139"/>
      <c r="I9" s="139"/>
      <c r="J9" s="139"/>
      <c r="K9" s="139"/>
      <c r="L9" s="139"/>
      <c r="M9" s="139"/>
      <c r="N9" s="139"/>
      <c r="O9" s="139"/>
      <c r="P9" s="139"/>
      <c r="Q9" s="139"/>
      <c r="R9" s="139"/>
      <c r="S9" s="139"/>
      <c r="T9" s="139"/>
      <c r="U9" s="139"/>
      <c r="V9" s="140"/>
      <c r="X9" s="142" t="str">
        <f>Sprachen!B36</f>
        <v>Jahr:</v>
      </c>
      <c r="Y9" s="142"/>
      <c r="Z9" s="142"/>
      <c r="AA9" s="138">
        <v>2025</v>
      </c>
      <c r="AB9" s="139"/>
      <c r="AC9" s="139"/>
      <c r="AD9" s="139"/>
      <c r="AE9" s="139"/>
      <c r="AF9" s="140"/>
      <c r="AI9" s="147"/>
      <c r="AK9" s="149"/>
      <c r="AL9" s="144"/>
      <c r="AM9" s="144"/>
      <c r="AN9" s="144"/>
      <c r="AO9" s="144"/>
      <c r="AQ9" s="144"/>
      <c r="AR9" s="144"/>
      <c r="AS9" s="144"/>
      <c r="AT9" s="144"/>
      <c r="AU9" s="71"/>
      <c r="AV9" s="71"/>
      <c r="AW9" s="71"/>
      <c r="AX9" s="71"/>
      <c r="AY9" s="71"/>
      <c r="AZ9" s="71"/>
      <c r="BA9" s="71"/>
      <c r="BB9" s="71"/>
      <c r="BC9" s="71"/>
      <c r="BD9" s="71"/>
      <c r="BE9" s="71"/>
      <c r="BF9" s="71"/>
      <c r="BG9" s="71"/>
      <c r="BH9" s="71"/>
      <c r="BI9" s="71"/>
      <c r="BJ9" s="72"/>
    </row>
    <row r="10" spans="1:63" ht="15" customHeight="1">
      <c r="AD10" s="13"/>
      <c r="AH10" s="75"/>
      <c r="AI10" s="147"/>
      <c r="AJ10" s="75"/>
      <c r="AK10" s="149"/>
      <c r="AL10" s="144"/>
      <c r="AM10" s="144"/>
      <c r="AN10" s="144"/>
      <c r="AO10" s="144"/>
      <c r="AP10" s="75"/>
      <c r="AQ10" s="144"/>
      <c r="AR10" s="144"/>
      <c r="AS10" s="144"/>
      <c r="AT10" s="144"/>
      <c r="AU10" s="71"/>
      <c r="AV10" s="71"/>
      <c r="AW10" s="71"/>
      <c r="AX10" s="71"/>
      <c r="AY10" s="71"/>
      <c r="AZ10" s="71"/>
      <c r="BA10" s="71"/>
      <c r="BB10" s="71"/>
      <c r="BC10" s="71"/>
      <c r="BD10" s="71"/>
      <c r="BE10" s="71"/>
      <c r="BF10" s="71"/>
      <c r="BG10" s="71"/>
      <c r="BH10" s="71"/>
      <c r="BI10" s="71"/>
      <c r="BJ10" s="72"/>
    </row>
    <row r="11" spans="1:63">
      <c r="B11" s="76" t="str">
        <f>+Sprachen!B9</f>
        <v>Datum der</v>
      </c>
      <c r="C11" s="64"/>
      <c r="D11" s="64"/>
      <c r="E11" s="65"/>
      <c r="F11" s="77" t="str">
        <f>+Sprachen!B13</f>
        <v>Firma</v>
      </c>
      <c r="G11" s="64"/>
      <c r="H11" s="69"/>
      <c r="I11" s="64"/>
      <c r="J11" s="64"/>
      <c r="K11" s="64"/>
      <c r="L11" s="64"/>
      <c r="M11" s="64"/>
      <c r="N11" s="64"/>
      <c r="O11" s="64"/>
      <c r="P11" s="64"/>
      <c r="Q11" s="64"/>
      <c r="R11" s="70"/>
      <c r="T11" s="68"/>
      <c r="U11" s="69"/>
      <c r="V11" s="69"/>
      <c r="W11" s="69"/>
      <c r="X11" s="69"/>
      <c r="Y11" s="69"/>
      <c r="Z11" s="69"/>
      <c r="AA11" s="69"/>
      <c r="AB11" s="69"/>
      <c r="AC11" s="69"/>
      <c r="AD11" s="78"/>
      <c r="AE11" s="69"/>
      <c r="AF11" s="69"/>
      <c r="AG11" s="70"/>
      <c r="AI11" s="147"/>
      <c r="AK11" s="149"/>
      <c r="AL11" s="144"/>
      <c r="AM11" s="144"/>
      <c r="AN11" s="144"/>
      <c r="AO11" s="144"/>
      <c r="AQ11" s="144"/>
      <c r="AR11" s="144"/>
      <c r="AS11" s="144"/>
      <c r="AT11" s="144"/>
      <c r="AU11" s="71"/>
      <c r="AV11" s="71"/>
      <c r="AW11" s="71"/>
      <c r="AX11" s="71"/>
      <c r="AY11" s="71"/>
      <c r="AZ11" s="71"/>
      <c r="BA11" s="71"/>
      <c r="BB11" s="71"/>
      <c r="BC11" s="71"/>
      <c r="BD11" s="71"/>
      <c r="BE11" s="71"/>
      <c r="BF11" s="71"/>
      <c r="BG11" s="71"/>
      <c r="BH11" s="71"/>
      <c r="BI11" s="71"/>
      <c r="BJ11" s="72"/>
    </row>
    <row r="12" spans="1:63">
      <c r="B12" s="79" t="str">
        <f>+Sprachen!B10</f>
        <v>Bewerbung</v>
      </c>
      <c r="C12" s="80"/>
      <c r="D12" s="80"/>
      <c r="E12" s="81"/>
      <c r="F12" s="79" t="str">
        <f>+Sprachen!B14</f>
        <v>Adresse</v>
      </c>
      <c r="G12" s="71"/>
      <c r="H12" s="80"/>
      <c r="I12" s="80"/>
      <c r="J12" s="80"/>
      <c r="K12" s="80"/>
      <c r="L12" s="80"/>
      <c r="M12" s="80"/>
      <c r="N12" s="80"/>
      <c r="O12" s="80"/>
      <c r="P12" s="80"/>
      <c r="Q12" s="80"/>
      <c r="R12" s="72"/>
      <c r="T12" s="79" t="s">
        <v>63</v>
      </c>
      <c r="U12" s="71"/>
      <c r="V12" s="71"/>
      <c r="W12" s="71"/>
      <c r="X12" s="71"/>
      <c r="Y12" s="71"/>
      <c r="Z12" s="71"/>
      <c r="AA12" s="71"/>
      <c r="AB12" s="71"/>
      <c r="AC12" s="71"/>
      <c r="AD12" s="82"/>
      <c r="AE12" s="71"/>
      <c r="AF12" s="71"/>
      <c r="AG12" s="72"/>
      <c r="AI12" s="147"/>
      <c r="AK12" s="149"/>
      <c r="AL12" s="144"/>
      <c r="AM12" s="144"/>
      <c r="AN12" s="144"/>
      <c r="AO12" s="144"/>
      <c r="AQ12" s="144"/>
      <c r="AR12" s="144"/>
      <c r="AS12" s="144"/>
      <c r="AT12" s="144"/>
      <c r="AU12" s="71"/>
      <c r="AV12" s="71"/>
      <c r="AW12" s="71"/>
      <c r="AX12" s="71"/>
      <c r="AY12" s="71"/>
      <c r="AZ12" s="71"/>
      <c r="BA12" s="71"/>
      <c r="BB12" s="71"/>
      <c r="BC12" s="71"/>
      <c r="BD12" s="71"/>
      <c r="BE12" s="71"/>
      <c r="BF12" s="71"/>
      <c r="BG12" s="71"/>
      <c r="BH12" s="71"/>
      <c r="BI12" s="71"/>
      <c r="BJ12" s="72"/>
    </row>
    <row r="13" spans="1:63" ht="18" customHeight="1">
      <c r="B13" s="108" t="str">
        <f>+Sprachen!B11</f>
        <v>Tag</v>
      </c>
      <c r="C13" s="109"/>
      <c r="D13" s="109" t="str">
        <f>+Sprachen!B12</f>
        <v>Monat</v>
      </c>
      <c r="E13" s="110"/>
      <c r="F13" s="83" t="str">
        <f>+Sprachen!B15</f>
        <v>Kontaktperson, Telefon-Nr.</v>
      </c>
      <c r="G13" s="84"/>
      <c r="H13" s="84"/>
      <c r="I13" s="84"/>
      <c r="J13" s="84"/>
      <c r="K13" s="84"/>
      <c r="L13" s="84"/>
      <c r="M13" s="84"/>
      <c r="N13" s="84"/>
      <c r="O13" s="84"/>
      <c r="P13" s="84"/>
      <c r="Q13" s="84"/>
      <c r="R13" s="85"/>
      <c r="T13" s="83"/>
      <c r="U13" s="84"/>
      <c r="V13" s="84"/>
      <c r="W13" s="84"/>
      <c r="X13" s="84"/>
      <c r="Y13" s="84"/>
      <c r="Z13" s="84"/>
      <c r="AA13" s="84"/>
      <c r="AB13" s="84"/>
      <c r="AC13" s="84"/>
      <c r="AD13" s="84"/>
      <c r="AE13" s="84"/>
      <c r="AF13" s="84"/>
      <c r="AG13" s="85"/>
      <c r="AI13" s="147"/>
      <c r="AK13" s="150"/>
      <c r="AL13" s="145"/>
      <c r="AM13" s="145"/>
      <c r="AN13" s="145"/>
      <c r="AO13" s="145"/>
      <c r="AQ13" s="145"/>
      <c r="AR13" s="145"/>
      <c r="AS13" s="145"/>
      <c r="AT13" s="145"/>
      <c r="AU13" s="96" t="str">
        <f>+Sprachen!B30</f>
        <v>Begründung</v>
      </c>
      <c r="AV13" s="84"/>
      <c r="AW13" s="84"/>
      <c r="AX13" s="84"/>
      <c r="AY13" s="84"/>
      <c r="AZ13" s="84"/>
      <c r="BA13" s="84"/>
      <c r="BB13" s="84"/>
      <c r="BC13" s="84"/>
      <c r="BD13" s="84"/>
      <c r="BE13" s="84"/>
      <c r="BF13" s="84"/>
      <c r="BG13" s="84"/>
      <c r="BH13" s="84"/>
      <c r="BI13" s="84"/>
      <c r="BJ13" s="85"/>
    </row>
    <row r="14" spans="1:63">
      <c r="B14" s="115"/>
      <c r="C14" s="115"/>
      <c r="D14" s="115"/>
      <c r="E14" s="115"/>
      <c r="F14" s="125"/>
      <c r="G14" s="126"/>
      <c r="H14" s="126"/>
      <c r="I14" s="126"/>
      <c r="J14" s="126"/>
      <c r="K14" s="126"/>
      <c r="L14" s="126"/>
      <c r="M14" s="126"/>
      <c r="N14" s="126"/>
      <c r="O14" s="126"/>
      <c r="P14" s="126"/>
      <c r="Q14" s="126"/>
      <c r="R14" s="127"/>
      <c r="S14" s="86"/>
      <c r="T14" s="128"/>
      <c r="U14" s="128"/>
      <c r="V14" s="128"/>
      <c r="W14" s="128"/>
      <c r="X14" s="128"/>
      <c r="Y14" s="128"/>
      <c r="Z14" s="128"/>
      <c r="AA14" s="128"/>
      <c r="AB14" s="128"/>
      <c r="AC14" s="128"/>
      <c r="AD14" s="128"/>
      <c r="AE14" s="128"/>
      <c r="AF14" s="128"/>
      <c r="AG14" s="128"/>
      <c r="AH14" s="86"/>
      <c r="AI14" s="115"/>
      <c r="AJ14" s="86"/>
      <c r="AK14" s="115"/>
      <c r="AL14" s="115"/>
      <c r="AM14" s="115"/>
      <c r="AN14" s="115"/>
      <c r="AO14" s="115"/>
      <c r="AP14" s="86"/>
      <c r="AQ14" s="115"/>
      <c r="AR14" s="115"/>
      <c r="AS14" s="115"/>
      <c r="AT14" s="115"/>
      <c r="AU14" s="116"/>
      <c r="AV14" s="117"/>
      <c r="AW14" s="117"/>
      <c r="AX14" s="117"/>
      <c r="AY14" s="117"/>
      <c r="AZ14" s="117"/>
      <c r="BA14" s="117"/>
      <c r="BB14" s="117"/>
      <c r="BC14" s="117"/>
      <c r="BD14" s="117"/>
      <c r="BE14" s="117"/>
      <c r="BF14" s="117"/>
      <c r="BG14" s="117"/>
      <c r="BH14" s="117"/>
      <c r="BI14" s="117"/>
      <c r="BJ14" s="118"/>
    </row>
    <row r="15" spans="1:63">
      <c r="B15" s="115"/>
      <c r="C15" s="115"/>
      <c r="D15" s="115"/>
      <c r="E15" s="115"/>
      <c r="F15" s="129"/>
      <c r="G15" s="130"/>
      <c r="H15" s="130"/>
      <c r="I15" s="130"/>
      <c r="J15" s="130"/>
      <c r="K15" s="130"/>
      <c r="L15" s="130"/>
      <c r="M15" s="130"/>
      <c r="N15" s="130"/>
      <c r="O15" s="130"/>
      <c r="P15" s="130"/>
      <c r="Q15" s="130"/>
      <c r="R15" s="131"/>
      <c r="S15" s="86"/>
      <c r="T15" s="128"/>
      <c r="U15" s="128"/>
      <c r="V15" s="128"/>
      <c r="W15" s="128"/>
      <c r="X15" s="128"/>
      <c r="Y15" s="128"/>
      <c r="Z15" s="128"/>
      <c r="AA15" s="128"/>
      <c r="AB15" s="128"/>
      <c r="AC15" s="128"/>
      <c r="AD15" s="128"/>
      <c r="AE15" s="128"/>
      <c r="AF15" s="128"/>
      <c r="AG15" s="128"/>
      <c r="AH15" s="86"/>
      <c r="AI15" s="115"/>
      <c r="AJ15" s="86"/>
      <c r="AK15" s="115"/>
      <c r="AL15" s="115"/>
      <c r="AM15" s="115"/>
      <c r="AN15" s="115"/>
      <c r="AO15" s="115"/>
      <c r="AP15" s="86"/>
      <c r="AQ15" s="115"/>
      <c r="AR15" s="115"/>
      <c r="AS15" s="115"/>
      <c r="AT15" s="115"/>
      <c r="AU15" s="119"/>
      <c r="AV15" s="120"/>
      <c r="AW15" s="120"/>
      <c r="AX15" s="120"/>
      <c r="AY15" s="120"/>
      <c r="AZ15" s="120"/>
      <c r="BA15" s="120"/>
      <c r="BB15" s="120"/>
      <c r="BC15" s="120"/>
      <c r="BD15" s="120"/>
      <c r="BE15" s="120"/>
      <c r="BF15" s="120"/>
      <c r="BG15" s="120"/>
      <c r="BH15" s="120"/>
      <c r="BI15" s="120"/>
      <c r="BJ15" s="121"/>
    </row>
    <row r="16" spans="1:63">
      <c r="B16" s="115"/>
      <c r="C16" s="115"/>
      <c r="D16" s="115"/>
      <c r="E16" s="115"/>
      <c r="F16" s="132"/>
      <c r="G16" s="133"/>
      <c r="H16" s="133"/>
      <c r="I16" s="133"/>
      <c r="J16" s="133"/>
      <c r="K16" s="133"/>
      <c r="L16" s="133"/>
      <c r="M16" s="133"/>
      <c r="N16" s="133"/>
      <c r="O16" s="133"/>
      <c r="P16" s="133"/>
      <c r="Q16" s="133"/>
      <c r="R16" s="134"/>
      <c r="S16" s="86"/>
      <c r="T16" s="128"/>
      <c r="U16" s="128"/>
      <c r="V16" s="128"/>
      <c r="W16" s="128"/>
      <c r="X16" s="128"/>
      <c r="Y16" s="128"/>
      <c r="Z16" s="128"/>
      <c r="AA16" s="128"/>
      <c r="AB16" s="128"/>
      <c r="AC16" s="128"/>
      <c r="AD16" s="128"/>
      <c r="AE16" s="128"/>
      <c r="AF16" s="128"/>
      <c r="AG16" s="128"/>
      <c r="AH16" s="86"/>
      <c r="AI16" s="115"/>
      <c r="AJ16" s="86"/>
      <c r="AK16" s="115"/>
      <c r="AL16" s="115"/>
      <c r="AM16" s="115"/>
      <c r="AN16" s="115"/>
      <c r="AO16" s="115"/>
      <c r="AP16" s="86"/>
      <c r="AQ16" s="115"/>
      <c r="AR16" s="115"/>
      <c r="AS16" s="115"/>
      <c r="AT16" s="115"/>
      <c r="AU16" s="122"/>
      <c r="AV16" s="123"/>
      <c r="AW16" s="123"/>
      <c r="AX16" s="123"/>
      <c r="AY16" s="123"/>
      <c r="AZ16" s="123"/>
      <c r="BA16" s="123"/>
      <c r="BB16" s="123"/>
      <c r="BC16" s="123"/>
      <c r="BD16" s="123"/>
      <c r="BE16" s="123"/>
      <c r="BF16" s="123"/>
      <c r="BG16" s="123"/>
      <c r="BH16" s="123"/>
      <c r="BI16" s="123"/>
      <c r="BJ16" s="124"/>
    </row>
    <row r="17" spans="2:62">
      <c r="B17" s="115"/>
      <c r="C17" s="115"/>
      <c r="D17" s="115"/>
      <c r="E17" s="115"/>
      <c r="F17" s="125"/>
      <c r="G17" s="126"/>
      <c r="H17" s="126"/>
      <c r="I17" s="126"/>
      <c r="J17" s="126"/>
      <c r="K17" s="126"/>
      <c r="L17" s="126"/>
      <c r="M17" s="126"/>
      <c r="N17" s="126"/>
      <c r="O17" s="126"/>
      <c r="P17" s="126"/>
      <c r="Q17" s="126"/>
      <c r="R17" s="127"/>
      <c r="S17" s="86"/>
      <c r="T17" s="128"/>
      <c r="U17" s="128"/>
      <c r="V17" s="128"/>
      <c r="W17" s="128"/>
      <c r="X17" s="128"/>
      <c r="Y17" s="128"/>
      <c r="Z17" s="128"/>
      <c r="AA17" s="128"/>
      <c r="AB17" s="128"/>
      <c r="AC17" s="128"/>
      <c r="AD17" s="128"/>
      <c r="AE17" s="128"/>
      <c r="AF17" s="128"/>
      <c r="AG17" s="128"/>
      <c r="AH17" s="86"/>
      <c r="AI17" s="115"/>
      <c r="AJ17" s="86"/>
      <c r="AK17" s="115"/>
      <c r="AL17" s="115"/>
      <c r="AM17" s="115"/>
      <c r="AN17" s="115"/>
      <c r="AO17" s="115"/>
      <c r="AP17" s="86"/>
      <c r="AQ17" s="115"/>
      <c r="AR17" s="115"/>
      <c r="AS17" s="115"/>
      <c r="AT17" s="115"/>
      <c r="AU17" s="116"/>
      <c r="AV17" s="117"/>
      <c r="AW17" s="117"/>
      <c r="AX17" s="117"/>
      <c r="AY17" s="117"/>
      <c r="AZ17" s="117"/>
      <c r="BA17" s="117"/>
      <c r="BB17" s="117"/>
      <c r="BC17" s="117"/>
      <c r="BD17" s="117"/>
      <c r="BE17" s="117"/>
      <c r="BF17" s="117"/>
      <c r="BG17" s="117"/>
      <c r="BH17" s="117"/>
      <c r="BI17" s="117"/>
      <c r="BJ17" s="118"/>
    </row>
    <row r="18" spans="2:62">
      <c r="B18" s="115"/>
      <c r="C18" s="115"/>
      <c r="D18" s="115"/>
      <c r="E18" s="115"/>
      <c r="F18" s="129"/>
      <c r="G18" s="130"/>
      <c r="H18" s="130"/>
      <c r="I18" s="130"/>
      <c r="J18" s="130"/>
      <c r="K18" s="130"/>
      <c r="L18" s="130"/>
      <c r="M18" s="130"/>
      <c r="N18" s="130"/>
      <c r="O18" s="130"/>
      <c r="P18" s="130"/>
      <c r="Q18" s="130"/>
      <c r="R18" s="131"/>
      <c r="S18" s="86"/>
      <c r="T18" s="128"/>
      <c r="U18" s="128"/>
      <c r="V18" s="128"/>
      <c r="W18" s="128"/>
      <c r="X18" s="128"/>
      <c r="Y18" s="128"/>
      <c r="Z18" s="128"/>
      <c r="AA18" s="128"/>
      <c r="AB18" s="128"/>
      <c r="AC18" s="128"/>
      <c r="AD18" s="128"/>
      <c r="AE18" s="128"/>
      <c r="AF18" s="128"/>
      <c r="AG18" s="128"/>
      <c r="AH18" s="86"/>
      <c r="AI18" s="115"/>
      <c r="AJ18" s="86"/>
      <c r="AK18" s="115"/>
      <c r="AL18" s="115"/>
      <c r="AM18" s="115"/>
      <c r="AN18" s="115"/>
      <c r="AO18" s="115"/>
      <c r="AP18" s="86"/>
      <c r="AQ18" s="115"/>
      <c r="AR18" s="115"/>
      <c r="AS18" s="115"/>
      <c r="AT18" s="115"/>
      <c r="AU18" s="119"/>
      <c r="AV18" s="120"/>
      <c r="AW18" s="120"/>
      <c r="AX18" s="120"/>
      <c r="AY18" s="120"/>
      <c r="AZ18" s="120"/>
      <c r="BA18" s="120"/>
      <c r="BB18" s="120"/>
      <c r="BC18" s="120"/>
      <c r="BD18" s="120"/>
      <c r="BE18" s="120"/>
      <c r="BF18" s="120"/>
      <c r="BG18" s="120"/>
      <c r="BH18" s="120"/>
      <c r="BI18" s="120"/>
      <c r="BJ18" s="121"/>
    </row>
    <row r="19" spans="2:62">
      <c r="B19" s="115"/>
      <c r="C19" s="115"/>
      <c r="D19" s="115"/>
      <c r="E19" s="115"/>
      <c r="F19" s="132"/>
      <c r="G19" s="133"/>
      <c r="H19" s="133"/>
      <c r="I19" s="133"/>
      <c r="J19" s="133"/>
      <c r="K19" s="133"/>
      <c r="L19" s="133"/>
      <c r="M19" s="133"/>
      <c r="N19" s="133"/>
      <c r="O19" s="133"/>
      <c r="P19" s="133"/>
      <c r="Q19" s="133"/>
      <c r="R19" s="134"/>
      <c r="S19" s="86"/>
      <c r="T19" s="128"/>
      <c r="U19" s="128"/>
      <c r="V19" s="128"/>
      <c r="W19" s="128"/>
      <c r="X19" s="128"/>
      <c r="Y19" s="128"/>
      <c r="Z19" s="128"/>
      <c r="AA19" s="128"/>
      <c r="AB19" s="128"/>
      <c r="AC19" s="128"/>
      <c r="AD19" s="128"/>
      <c r="AE19" s="128"/>
      <c r="AF19" s="128"/>
      <c r="AG19" s="128"/>
      <c r="AH19" s="86"/>
      <c r="AI19" s="115"/>
      <c r="AJ19" s="86"/>
      <c r="AK19" s="115"/>
      <c r="AL19" s="115"/>
      <c r="AM19" s="115"/>
      <c r="AN19" s="115"/>
      <c r="AO19" s="115"/>
      <c r="AP19" s="86"/>
      <c r="AQ19" s="115"/>
      <c r="AR19" s="115"/>
      <c r="AS19" s="115"/>
      <c r="AT19" s="115"/>
      <c r="AU19" s="122"/>
      <c r="AV19" s="123"/>
      <c r="AW19" s="123"/>
      <c r="AX19" s="123"/>
      <c r="AY19" s="123"/>
      <c r="AZ19" s="123"/>
      <c r="BA19" s="123"/>
      <c r="BB19" s="123"/>
      <c r="BC19" s="123"/>
      <c r="BD19" s="123"/>
      <c r="BE19" s="123"/>
      <c r="BF19" s="123"/>
      <c r="BG19" s="123"/>
      <c r="BH19" s="123"/>
      <c r="BI19" s="123"/>
      <c r="BJ19" s="124"/>
    </row>
    <row r="20" spans="2:62">
      <c r="B20" s="115"/>
      <c r="C20" s="115"/>
      <c r="D20" s="115"/>
      <c r="E20" s="115"/>
      <c r="F20" s="125"/>
      <c r="G20" s="126"/>
      <c r="H20" s="126"/>
      <c r="I20" s="126"/>
      <c r="J20" s="126"/>
      <c r="K20" s="126"/>
      <c r="L20" s="126"/>
      <c r="M20" s="126"/>
      <c r="N20" s="126"/>
      <c r="O20" s="126"/>
      <c r="P20" s="126"/>
      <c r="Q20" s="126"/>
      <c r="R20" s="127"/>
      <c r="S20" s="86"/>
      <c r="T20" s="128"/>
      <c r="U20" s="128"/>
      <c r="V20" s="128"/>
      <c r="W20" s="128"/>
      <c r="X20" s="128"/>
      <c r="Y20" s="128"/>
      <c r="Z20" s="128"/>
      <c r="AA20" s="128"/>
      <c r="AB20" s="128"/>
      <c r="AC20" s="128"/>
      <c r="AD20" s="128"/>
      <c r="AE20" s="128"/>
      <c r="AF20" s="128"/>
      <c r="AG20" s="128"/>
      <c r="AH20" s="86"/>
      <c r="AI20" s="115"/>
      <c r="AJ20" s="86"/>
      <c r="AK20" s="115"/>
      <c r="AL20" s="115"/>
      <c r="AM20" s="115"/>
      <c r="AN20" s="115"/>
      <c r="AO20" s="115"/>
      <c r="AP20" s="86"/>
      <c r="AQ20" s="115"/>
      <c r="AR20" s="115"/>
      <c r="AS20" s="115"/>
      <c r="AT20" s="115"/>
      <c r="AU20" s="116"/>
      <c r="AV20" s="117"/>
      <c r="AW20" s="117"/>
      <c r="AX20" s="117"/>
      <c r="AY20" s="117"/>
      <c r="AZ20" s="117"/>
      <c r="BA20" s="117"/>
      <c r="BB20" s="117"/>
      <c r="BC20" s="117"/>
      <c r="BD20" s="117"/>
      <c r="BE20" s="117"/>
      <c r="BF20" s="117"/>
      <c r="BG20" s="117"/>
      <c r="BH20" s="117"/>
      <c r="BI20" s="117"/>
      <c r="BJ20" s="118"/>
    </row>
    <row r="21" spans="2:62">
      <c r="B21" s="115"/>
      <c r="C21" s="115"/>
      <c r="D21" s="115"/>
      <c r="E21" s="115"/>
      <c r="F21" s="129"/>
      <c r="G21" s="130"/>
      <c r="H21" s="130"/>
      <c r="I21" s="130"/>
      <c r="J21" s="130"/>
      <c r="K21" s="130"/>
      <c r="L21" s="130"/>
      <c r="M21" s="130"/>
      <c r="N21" s="130"/>
      <c r="O21" s="130"/>
      <c r="P21" s="130"/>
      <c r="Q21" s="130"/>
      <c r="R21" s="131"/>
      <c r="S21" s="86"/>
      <c r="T21" s="128"/>
      <c r="U21" s="128"/>
      <c r="V21" s="128"/>
      <c r="W21" s="128"/>
      <c r="X21" s="128"/>
      <c r="Y21" s="128"/>
      <c r="Z21" s="128"/>
      <c r="AA21" s="128"/>
      <c r="AB21" s="128"/>
      <c r="AC21" s="128"/>
      <c r="AD21" s="128"/>
      <c r="AE21" s="128"/>
      <c r="AF21" s="128"/>
      <c r="AG21" s="128"/>
      <c r="AH21" s="86"/>
      <c r="AI21" s="115"/>
      <c r="AJ21" s="86"/>
      <c r="AK21" s="115"/>
      <c r="AL21" s="115"/>
      <c r="AM21" s="115"/>
      <c r="AN21" s="115"/>
      <c r="AO21" s="115"/>
      <c r="AP21" s="86"/>
      <c r="AQ21" s="115"/>
      <c r="AR21" s="115"/>
      <c r="AS21" s="115"/>
      <c r="AT21" s="115"/>
      <c r="AU21" s="119"/>
      <c r="AV21" s="120"/>
      <c r="AW21" s="120"/>
      <c r="AX21" s="120"/>
      <c r="AY21" s="120"/>
      <c r="AZ21" s="120"/>
      <c r="BA21" s="120"/>
      <c r="BB21" s="120"/>
      <c r="BC21" s="120"/>
      <c r="BD21" s="120"/>
      <c r="BE21" s="120"/>
      <c r="BF21" s="120"/>
      <c r="BG21" s="120"/>
      <c r="BH21" s="120"/>
      <c r="BI21" s="120"/>
      <c r="BJ21" s="121"/>
    </row>
    <row r="22" spans="2:62">
      <c r="B22" s="115"/>
      <c r="C22" s="115"/>
      <c r="D22" s="115"/>
      <c r="E22" s="115"/>
      <c r="F22" s="132"/>
      <c r="G22" s="133"/>
      <c r="H22" s="133"/>
      <c r="I22" s="133"/>
      <c r="J22" s="133"/>
      <c r="K22" s="133"/>
      <c r="L22" s="133"/>
      <c r="M22" s="133"/>
      <c r="N22" s="133"/>
      <c r="O22" s="133"/>
      <c r="P22" s="133"/>
      <c r="Q22" s="133"/>
      <c r="R22" s="134"/>
      <c r="S22" s="86"/>
      <c r="T22" s="128"/>
      <c r="U22" s="128"/>
      <c r="V22" s="128"/>
      <c r="W22" s="128"/>
      <c r="X22" s="128"/>
      <c r="Y22" s="128"/>
      <c r="Z22" s="128"/>
      <c r="AA22" s="128"/>
      <c r="AB22" s="128"/>
      <c r="AC22" s="128"/>
      <c r="AD22" s="128"/>
      <c r="AE22" s="128"/>
      <c r="AF22" s="128"/>
      <c r="AG22" s="128"/>
      <c r="AH22" s="86"/>
      <c r="AI22" s="115"/>
      <c r="AJ22" s="86"/>
      <c r="AK22" s="115"/>
      <c r="AL22" s="115"/>
      <c r="AM22" s="115"/>
      <c r="AN22" s="115"/>
      <c r="AO22" s="115"/>
      <c r="AP22" s="86"/>
      <c r="AQ22" s="115"/>
      <c r="AR22" s="115"/>
      <c r="AS22" s="115"/>
      <c r="AT22" s="115"/>
      <c r="AU22" s="122"/>
      <c r="AV22" s="123"/>
      <c r="AW22" s="123"/>
      <c r="AX22" s="123"/>
      <c r="AY22" s="123"/>
      <c r="AZ22" s="123"/>
      <c r="BA22" s="123"/>
      <c r="BB22" s="123"/>
      <c r="BC22" s="123"/>
      <c r="BD22" s="123"/>
      <c r="BE22" s="123"/>
      <c r="BF22" s="123"/>
      <c r="BG22" s="123"/>
      <c r="BH22" s="123"/>
      <c r="BI22" s="123"/>
      <c r="BJ22" s="124"/>
    </row>
    <row r="23" spans="2:62">
      <c r="B23" s="115"/>
      <c r="C23" s="115"/>
      <c r="D23" s="115"/>
      <c r="E23" s="115"/>
      <c r="F23" s="125"/>
      <c r="G23" s="126"/>
      <c r="H23" s="126"/>
      <c r="I23" s="126"/>
      <c r="J23" s="126"/>
      <c r="K23" s="126"/>
      <c r="L23" s="126"/>
      <c r="M23" s="126"/>
      <c r="N23" s="126"/>
      <c r="O23" s="126"/>
      <c r="P23" s="126"/>
      <c r="Q23" s="126"/>
      <c r="R23" s="127"/>
      <c r="S23" s="86"/>
      <c r="T23" s="128"/>
      <c r="U23" s="128"/>
      <c r="V23" s="128"/>
      <c r="W23" s="128"/>
      <c r="X23" s="128"/>
      <c r="Y23" s="128"/>
      <c r="Z23" s="128"/>
      <c r="AA23" s="128"/>
      <c r="AB23" s="128"/>
      <c r="AC23" s="128"/>
      <c r="AD23" s="128"/>
      <c r="AE23" s="128"/>
      <c r="AF23" s="128"/>
      <c r="AG23" s="128"/>
      <c r="AH23" s="86"/>
      <c r="AI23" s="115"/>
      <c r="AJ23" s="86"/>
      <c r="AK23" s="115"/>
      <c r="AL23" s="115"/>
      <c r="AM23" s="115"/>
      <c r="AN23" s="115"/>
      <c r="AO23" s="115"/>
      <c r="AP23" s="86"/>
      <c r="AQ23" s="115"/>
      <c r="AR23" s="115"/>
      <c r="AS23" s="115"/>
      <c r="AT23" s="115"/>
      <c r="AU23" s="116"/>
      <c r="AV23" s="117"/>
      <c r="AW23" s="117"/>
      <c r="AX23" s="117"/>
      <c r="AY23" s="117"/>
      <c r="AZ23" s="117"/>
      <c r="BA23" s="117"/>
      <c r="BB23" s="117"/>
      <c r="BC23" s="117"/>
      <c r="BD23" s="117"/>
      <c r="BE23" s="117"/>
      <c r="BF23" s="117"/>
      <c r="BG23" s="117"/>
      <c r="BH23" s="117"/>
      <c r="BI23" s="117"/>
      <c r="BJ23" s="118"/>
    </row>
    <row r="24" spans="2:62">
      <c r="B24" s="115"/>
      <c r="C24" s="115"/>
      <c r="D24" s="115"/>
      <c r="E24" s="115"/>
      <c r="F24" s="129"/>
      <c r="G24" s="130"/>
      <c r="H24" s="130"/>
      <c r="I24" s="130"/>
      <c r="J24" s="130"/>
      <c r="K24" s="130"/>
      <c r="L24" s="130"/>
      <c r="M24" s="130"/>
      <c r="N24" s="130"/>
      <c r="O24" s="130"/>
      <c r="P24" s="130"/>
      <c r="Q24" s="130"/>
      <c r="R24" s="131"/>
      <c r="S24" s="86"/>
      <c r="T24" s="128"/>
      <c r="U24" s="128"/>
      <c r="V24" s="128"/>
      <c r="W24" s="128"/>
      <c r="X24" s="128"/>
      <c r="Y24" s="128"/>
      <c r="Z24" s="128"/>
      <c r="AA24" s="128"/>
      <c r="AB24" s="128"/>
      <c r="AC24" s="128"/>
      <c r="AD24" s="128"/>
      <c r="AE24" s="128"/>
      <c r="AF24" s="128"/>
      <c r="AG24" s="128"/>
      <c r="AH24" s="86"/>
      <c r="AI24" s="115"/>
      <c r="AJ24" s="86"/>
      <c r="AK24" s="115"/>
      <c r="AL24" s="115"/>
      <c r="AM24" s="115"/>
      <c r="AN24" s="115"/>
      <c r="AO24" s="115"/>
      <c r="AP24" s="86"/>
      <c r="AQ24" s="115"/>
      <c r="AR24" s="115"/>
      <c r="AS24" s="115"/>
      <c r="AT24" s="115"/>
      <c r="AU24" s="119"/>
      <c r="AV24" s="120"/>
      <c r="AW24" s="120"/>
      <c r="AX24" s="120"/>
      <c r="AY24" s="120"/>
      <c r="AZ24" s="120"/>
      <c r="BA24" s="120"/>
      <c r="BB24" s="120"/>
      <c r="BC24" s="120"/>
      <c r="BD24" s="120"/>
      <c r="BE24" s="120"/>
      <c r="BF24" s="120"/>
      <c r="BG24" s="120"/>
      <c r="BH24" s="120"/>
      <c r="BI24" s="120"/>
      <c r="BJ24" s="121"/>
    </row>
    <row r="25" spans="2:62">
      <c r="B25" s="115"/>
      <c r="C25" s="115"/>
      <c r="D25" s="115"/>
      <c r="E25" s="115"/>
      <c r="F25" s="132"/>
      <c r="G25" s="133"/>
      <c r="H25" s="133"/>
      <c r="I25" s="133"/>
      <c r="J25" s="133"/>
      <c r="K25" s="133"/>
      <c r="L25" s="133"/>
      <c r="M25" s="133"/>
      <c r="N25" s="133"/>
      <c r="O25" s="133"/>
      <c r="P25" s="133"/>
      <c r="Q25" s="133"/>
      <c r="R25" s="134"/>
      <c r="S25" s="86"/>
      <c r="T25" s="128"/>
      <c r="U25" s="128"/>
      <c r="V25" s="128"/>
      <c r="W25" s="128"/>
      <c r="X25" s="128"/>
      <c r="Y25" s="128"/>
      <c r="Z25" s="128"/>
      <c r="AA25" s="128"/>
      <c r="AB25" s="128"/>
      <c r="AC25" s="128"/>
      <c r="AD25" s="128"/>
      <c r="AE25" s="128"/>
      <c r="AF25" s="128"/>
      <c r="AG25" s="128"/>
      <c r="AH25" s="86"/>
      <c r="AI25" s="115"/>
      <c r="AJ25" s="86"/>
      <c r="AK25" s="115"/>
      <c r="AL25" s="115"/>
      <c r="AM25" s="115"/>
      <c r="AN25" s="115"/>
      <c r="AO25" s="115"/>
      <c r="AP25" s="86"/>
      <c r="AQ25" s="115"/>
      <c r="AR25" s="115"/>
      <c r="AS25" s="115"/>
      <c r="AT25" s="115"/>
      <c r="AU25" s="122"/>
      <c r="AV25" s="123"/>
      <c r="AW25" s="123"/>
      <c r="AX25" s="123"/>
      <c r="AY25" s="123"/>
      <c r="AZ25" s="123"/>
      <c r="BA25" s="123"/>
      <c r="BB25" s="123"/>
      <c r="BC25" s="123"/>
      <c r="BD25" s="123"/>
      <c r="BE25" s="123"/>
      <c r="BF25" s="123"/>
      <c r="BG25" s="123"/>
      <c r="BH25" s="123"/>
      <c r="BI25" s="123"/>
      <c r="BJ25" s="124"/>
    </row>
    <row r="26" spans="2:62">
      <c r="B26" s="115"/>
      <c r="C26" s="115"/>
      <c r="D26" s="115"/>
      <c r="E26" s="115"/>
      <c r="F26" s="125"/>
      <c r="G26" s="126"/>
      <c r="H26" s="126"/>
      <c r="I26" s="126"/>
      <c r="J26" s="126"/>
      <c r="K26" s="126"/>
      <c r="L26" s="126"/>
      <c r="M26" s="126"/>
      <c r="N26" s="126"/>
      <c r="O26" s="126"/>
      <c r="P26" s="126"/>
      <c r="Q26" s="126"/>
      <c r="R26" s="127"/>
      <c r="S26" s="86"/>
      <c r="T26" s="128"/>
      <c r="U26" s="128"/>
      <c r="V26" s="128"/>
      <c r="W26" s="128"/>
      <c r="X26" s="128"/>
      <c r="Y26" s="128"/>
      <c r="Z26" s="128"/>
      <c r="AA26" s="128"/>
      <c r="AB26" s="128"/>
      <c r="AC26" s="128"/>
      <c r="AD26" s="128"/>
      <c r="AE26" s="128"/>
      <c r="AF26" s="128"/>
      <c r="AG26" s="128"/>
      <c r="AH26" s="86"/>
      <c r="AI26" s="115"/>
      <c r="AJ26" s="86"/>
      <c r="AK26" s="115"/>
      <c r="AL26" s="115"/>
      <c r="AM26" s="115"/>
      <c r="AN26" s="115"/>
      <c r="AO26" s="115"/>
      <c r="AP26" s="86"/>
      <c r="AQ26" s="115"/>
      <c r="AR26" s="115"/>
      <c r="AS26" s="115"/>
      <c r="AT26" s="115"/>
      <c r="AU26" s="116"/>
      <c r="AV26" s="117"/>
      <c r="AW26" s="117"/>
      <c r="AX26" s="117"/>
      <c r="AY26" s="117"/>
      <c r="AZ26" s="117"/>
      <c r="BA26" s="117"/>
      <c r="BB26" s="117"/>
      <c r="BC26" s="117"/>
      <c r="BD26" s="117"/>
      <c r="BE26" s="117"/>
      <c r="BF26" s="117"/>
      <c r="BG26" s="117"/>
      <c r="BH26" s="117"/>
      <c r="BI26" s="117"/>
      <c r="BJ26" s="118"/>
    </row>
    <row r="27" spans="2:62">
      <c r="B27" s="115"/>
      <c r="C27" s="115"/>
      <c r="D27" s="115"/>
      <c r="E27" s="115"/>
      <c r="F27" s="129"/>
      <c r="G27" s="130"/>
      <c r="H27" s="130"/>
      <c r="I27" s="130"/>
      <c r="J27" s="130"/>
      <c r="K27" s="130"/>
      <c r="L27" s="130"/>
      <c r="M27" s="130"/>
      <c r="N27" s="130"/>
      <c r="O27" s="130"/>
      <c r="P27" s="130"/>
      <c r="Q27" s="130"/>
      <c r="R27" s="131"/>
      <c r="S27" s="86"/>
      <c r="T27" s="128"/>
      <c r="U27" s="128"/>
      <c r="V27" s="128"/>
      <c r="W27" s="128"/>
      <c r="X27" s="128"/>
      <c r="Y27" s="128"/>
      <c r="Z27" s="128"/>
      <c r="AA27" s="128"/>
      <c r="AB27" s="128"/>
      <c r="AC27" s="128"/>
      <c r="AD27" s="128"/>
      <c r="AE27" s="128"/>
      <c r="AF27" s="128"/>
      <c r="AG27" s="128"/>
      <c r="AH27" s="86"/>
      <c r="AI27" s="115"/>
      <c r="AJ27" s="86"/>
      <c r="AK27" s="115"/>
      <c r="AL27" s="115"/>
      <c r="AM27" s="115"/>
      <c r="AN27" s="115"/>
      <c r="AO27" s="115"/>
      <c r="AP27" s="86"/>
      <c r="AQ27" s="115"/>
      <c r="AR27" s="115"/>
      <c r="AS27" s="115"/>
      <c r="AT27" s="115"/>
      <c r="AU27" s="119"/>
      <c r="AV27" s="120"/>
      <c r="AW27" s="120"/>
      <c r="AX27" s="120"/>
      <c r="AY27" s="120"/>
      <c r="AZ27" s="120"/>
      <c r="BA27" s="120"/>
      <c r="BB27" s="120"/>
      <c r="BC27" s="120"/>
      <c r="BD27" s="120"/>
      <c r="BE27" s="120"/>
      <c r="BF27" s="120"/>
      <c r="BG27" s="120"/>
      <c r="BH27" s="120"/>
      <c r="BI27" s="120"/>
      <c r="BJ27" s="121"/>
    </row>
    <row r="28" spans="2:62">
      <c r="B28" s="115"/>
      <c r="C28" s="115"/>
      <c r="D28" s="115"/>
      <c r="E28" s="115"/>
      <c r="F28" s="132"/>
      <c r="G28" s="133"/>
      <c r="H28" s="133"/>
      <c r="I28" s="133"/>
      <c r="J28" s="133"/>
      <c r="K28" s="133"/>
      <c r="L28" s="133"/>
      <c r="M28" s="133"/>
      <c r="N28" s="133"/>
      <c r="O28" s="133"/>
      <c r="P28" s="133"/>
      <c r="Q28" s="133"/>
      <c r="R28" s="134"/>
      <c r="S28" s="86"/>
      <c r="T28" s="128"/>
      <c r="U28" s="128"/>
      <c r="V28" s="128"/>
      <c r="W28" s="128"/>
      <c r="X28" s="128"/>
      <c r="Y28" s="128"/>
      <c r="Z28" s="128"/>
      <c r="AA28" s="128"/>
      <c r="AB28" s="128"/>
      <c r="AC28" s="128"/>
      <c r="AD28" s="128"/>
      <c r="AE28" s="128"/>
      <c r="AF28" s="128"/>
      <c r="AG28" s="128"/>
      <c r="AH28" s="86"/>
      <c r="AI28" s="115"/>
      <c r="AJ28" s="86"/>
      <c r="AK28" s="115"/>
      <c r="AL28" s="115"/>
      <c r="AM28" s="115"/>
      <c r="AN28" s="115"/>
      <c r="AO28" s="115"/>
      <c r="AP28" s="86"/>
      <c r="AQ28" s="115"/>
      <c r="AR28" s="115"/>
      <c r="AS28" s="115"/>
      <c r="AT28" s="115"/>
      <c r="AU28" s="122"/>
      <c r="AV28" s="123"/>
      <c r="AW28" s="123"/>
      <c r="AX28" s="123"/>
      <c r="AY28" s="123"/>
      <c r="AZ28" s="123"/>
      <c r="BA28" s="123"/>
      <c r="BB28" s="123"/>
      <c r="BC28" s="123"/>
      <c r="BD28" s="123"/>
      <c r="BE28" s="123"/>
      <c r="BF28" s="123"/>
      <c r="BG28" s="123"/>
      <c r="BH28" s="123"/>
      <c r="BI28" s="123"/>
      <c r="BJ28" s="124"/>
    </row>
    <row r="29" spans="2:62">
      <c r="B29" s="115"/>
      <c r="C29" s="115"/>
      <c r="D29" s="115"/>
      <c r="E29" s="115"/>
      <c r="F29" s="125"/>
      <c r="G29" s="126"/>
      <c r="H29" s="126"/>
      <c r="I29" s="126"/>
      <c r="J29" s="126"/>
      <c r="K29" s="126"/>
      <c r="L29" s="126"/>
      <c r="M29" s="126"/>
      <c r="N29" s="126"/>
      <c r="O29" s="126"/>
      <c r="P29" s="126"/>
      <c r="Q29" s="126"/>
      <c r="R29" s="127"/>
      <c r="S29" s="86"/>
      <c r="T29" s="128"/>
      <c r="U29" s="128"/>
      <c r="V29" s="128"/>
      <c r="W29" s="128"/>
      <c r="X29" s="128"/>
      <c r="Y29" s="128"/>
      <c r="Z29" s="128"/>
      <c r="AA29" s="128"/>
      <c r="AB29" s="128"/>
      <c r="AC29" s="128"/>
      <c r="AD29" s="128"/>
      <c r="AE29" s="128"/>
      <c r="AF29" s="128"/>
      <c r="AG29" s="128"/>
      <c r="AH29" s="86"/>
      <c r="AI29" s="115"/>
      <c r="AJ29" s="86"/>
      <c r="AK29" s="115"/>
      <c r="AL29" s="115"/>
      <c r="AM29" s="115"/>
      <c r="AN29" s="115"/>
      <c r="AO29" s="115"/>
      <c r="AP29" s="86"/>
      <c r="AQ29" s="115"/>
      <c r="AR29" s="115"/>
      <c r="AS29" s="115"/>
      <c r="AT29" s="115"/>
      <c r="AU29" s="116"/>
      <c r="AV29" s="117"/>
      <c r="AW29" s="117"/>
      <c r="AX29" s="117"/>
      <c r="AY29" s="117"/>
      <c r="AZ29" s="117"/>
      <c r="BA29" s="117"/>
      <c r="BB29" s="117"/>
      <c r="BC29" s="117"/>
      <c r="BD29" s="117"/>
      <c r="BE29" s="117"/>
      <c r="BF29" s="117"/>
      <c r="BG29" s="117"/>
      <c r="BH29" s="117"/>
      <c r="BI29" s="117"/>
      <c r="BJ29" s="118"/>
    </row>
    <row r="30" spans="2:62">
      <c r="B30" s="115"/>
      <c r="C30" s="115"/>
      <c r="D30" s="115"/>
      <c r="E30" s="115"/>
      <c r="F30" s="129"/>
      <c r="G30" s="130"/>
      <c r="H30" s="130"/>
      <c r="I30" s="130"/>
      <c r="J30" s="130"/>
      <c r="K30" s="130"/>
      <c r="L30" s="130"/>
      <c r="M30" s="130"/>
      <c r="N30" s="130"/>
      <c r="O30" s="130"/>
      <c r="P30" s="130"/>
      <c r="Q30" s="130"/>
      <c r="R30" s="131"/>
      <c r="S30" s="86"/>
      <c r="T30" s="128"/>
      <c r="U30" s="128"/>
      <c r="V30" s="128"/>
      <c r="W30" s="128"/>
      <c r="X30" s="128"/>
      <c r="Y30" s="128"/>
      <c r="Z30" s="128"/>
      <c r="AA30" s="128"/>
      <c r="AB30" s="128"/>
      <c r="AC30" s="128"/>
      <c r="AD30" s="128"/>
      <c r="AE30" s="128"/>
      <c r="AF30" s="128"/>
      <c r="AG30" s="128"/>
      <c r="AH30" s="86"/>
      <c r="AI30" s="115"/>
      <c r="AJ30" s="86"/>
      <c r="AK30" s="115"/>
      <c r="AL30" s="115"/>
      <c r="AM30" s="115"/>
      <c r="AN30" s="115"/>
      <c r="AO30" s="115"/>
      <c r="AP30" s="86"/>
      <c r="AQ30" s="115"/>
      <c r="AR30" s="115"/>
      <c r="AS30" s="115"/>
      <c r="AT30" s="115"/>
      <c r="AU30" s="119"/>
      <c r="AV30" s="120"/>
      <c r="AW30" s="120"/>
      <c r="AX30" s="120"/>
      <c r="AY30" s="120"/>
      <c r="AZ30" s="120"/>
      <c r="BA30" s="120"/>
      <c r="BB30" s="120"/>
      <c r="BC30" s="120"/>
      <c r="BD30" s="120"/>
      <c r="BE30" s="120"/>
      <c r="BF30" s="120"/>
      <c r="BG30" s="120"/>
      <c r="BH30" s="120"/>
      <c r="BI30" s="120"/>
      <c r="BJ30" s="121"/>
    </row>
    <row r="31" spans="2:62">
      <c r="B31" s="115"/>
      <c r="C31" s="115"/>
      <c r="D31" s="115"/>
      <c r="E31" s="115"/>
      <c r="F31" s="132"/>
      <c r="G31" s="133"/>
      <c r="H31" s="133"/>
      <c r="I31" s="133"/>
      <c r="J31" s="133"/>
      <c r="K31" s="133"/>
      <c r="L31" s="133"/>
      <c r="M31" s="133"/>
      <c r="N31" s="133"/>
      <c r="O31" s="133"/>
      <c r="P31" s="133"/>
      <c r="Q31" s="133"/>
      <c r="R31" s="134"/>
      <c r="S31" s="86"/>
      <c r="T31" s="128"/>
      <c r="U31" s="128"/>
      <c r="V31" s="128"/>
      <c r="W31" s="128"/>
      <c r="X31" s="128"/>
      <c r="Y31" s="128"/>
      <c r="Z31" s="128"/>
      <c r="AA31" s="128"/>
      <c r="AB31" s="128"/>
      <c r="AC31" s="128"/>
      <c r="AD31" s="128"/>
      <c r="AE31" s="128"/>
      <c r="AF31" s="128"/>
      <c r="AG31" s="128"/>
      <c r="AH31" s="86"/>
      <c r="AI31" s="115"/>
      <c r="AJ31" s="86"/>
      <c r="AK31" s="115"/>
      <c r="AL31" s="115"/>
      <c r="AM31" s="115"/>
      <c r="AN31" s="115"/>
      <c r="AO31" s="115"/>
      <c r="AP31" s="86"/>
      <c r="AQ31" s="115"/>
      <c r="AR31" s="115"/>
      <c r="AS31" s="115"/>
      <c r="AT31" s="115"/>
      <c r="AU31" s="122"/>
      <c r="AV31" s="123"/>
      <c r="AW31" s="123"/>
      <c r="AX31" s="123"/>
      <c r="AY31" s="123"/>
      <c r="AZ31" s="123"/>
      <c r="BA31" s="123"/>
      <c r="BB31" s="123"/>
      <c r="BC31" s="123"/>
      <c r="BD31" s="123"/>
      <c r="BE31" s="123"/>
      <c r="BF31" s="123"/>
      <c r="BG31" s="123"/>
      <c r="BH31" s="123"/>
      <c r="BI31" s="123"/>
      <c r="BJ31" s="124"/>
    </row>
    <row r="32" spans="2:62">
      <c r="B32" s="115"/>
      <c r="C32" s="115"/>
      <c r="D32" s="115"/>
      <c r="E32" s="115"/>
      <c r="F32" s="125"/>
      <c r="G32" s="126"/>
      <c r="H32" s="126"/>
      <c r="I32" s="126"/>
      <c r="J32" s="126"/>
      <c r="K32" s="126"/>
      <c r="L32" s="126"/>
      <c r="M32" s="126"/>
      <c r="N32" s="126"/>
      <c r="O32" s="126"/>
      <c r="P32" s="126"/>
      <c r="Q32" s="126"/>
      <c r="R32" s="127"/>
      <c r="S32" s="86"/>
      <c r="T32" s="128"/>
      <c r="U32" s="128"/>
      <c r="V32" s="128"/>
      <c r="W32" s="128"/>
      <c r="X32" s="128"/>
      <c r="Y32" s="128"/>
      <c r="Z32" s="128"/>
      <c r="AA32" s="128"/>
      <c r="AB32" s="128"/>
      <c r="AC32" s="128"/>
      <c r="AD32" s="128"/>
      <c r="AE32" s="128"/>
      <c r="AF32" s="128"/>
      <c r="AG32" s="128"/>
      <c r="AH32" s="86"/>
      <c r="AI32" s="115"/>
      <c r="AJ32" s="86"/>
      <c r="AK32" s="115"/>
      <c r="AL32" s="115"/>
      <c r="AM32" s="115"/>
      <c r="AN32" s="115"/>
      <c r="AO32" s="115"/>
      <c r="AP32" s="86"/>
      <c r="AQ32" s="115"/>
      <c r="AR32" s="115"/>
      <c r="AS32" s="115"/>
      <c r="AT32" s="115"/>
      <c r="AU32" s="116"/>
      <c r="AV32" s="117"/>
      <c r="AW32" s="117"/>
      <c r="AX32" s="117"/>
      <c r="AY32" s="117"/>
      <c r="AZ32" s="117"/>
      <c r="BA32" s="117"/>
      <c r="BB32" s="117"/>
      <c r="BC32" s="117"/>
      <c r="BD32" s="117"/>
      <c r="BE32" s="117"/>
      <c r="BF32" s="117"/>
      <c r="BG32" s="117"/>
      <c r="BH32" s="117"/>
      <c r="BI32" s="117"/>
      <c r="BJ32" s="118"/>
    </row>
    <row r="33" spans="2:62">
      <c r="B33" s="115"/>
      <c r="C33" s="115"/>
      <c r="D33" s="115"/>
      <c r="E33" s="115"/>
      <c r="F33" s="129"/>
      <c r="G33" s="130"/>
      <c r="H33" s="130"/>
      <c r="I33" s="130"/>
      <c r="J33" s="130"/>
      <c r="K33" s="130"/>
      <c r="L33" s="130"/>
      <c r="M33" s="130"/>
      <c r="N33" s="130"/>
      <c r="O33" s="130"/>
      <c r="P33" s="130"/>
      <c r="Q33" s="130"/>
      <c r="R33" s="131"/>
      <c r="S33" s="86"/>
      <c r="T33" s="128"/>
      <c r="U33" s="128"/>
      <c r="V33" s="128"/>
      <c r="W33" s="128"/>
      <c r="X33" s="128"/>
      <c r="Y33" s="128"/>
      <c r="Z33" s="128"/>
      <c r="AA33" s="128"/>
      <c r="AB33" s="128"/>
      <c r="AC33" s="128"/>
      <c r="AD33" s="128"/>
      <c r="AE33" s="128"/>
      <c r="AF33" s="128"/>
      <c r="AG33" s="128"/>
      <c r="AH33" s="86"/>
      <c r="AI33" s="115"/>
      <c r="AJ33" s="86"/>
      <c r="AK33" s="115"/>
      <c r="AL33" s="115"/>
      <c r="AM33" s="115"/>
      <c r="AN33" s="115"/>
      <c r="AO33" s="115"/>
      <c r="AP33" s="86"/>
      <c r="AQ33" s="115"/>
      <c r="AR33" s="115"/>
      <c r="AS33" s="115"/>
      <c r="AT33" s="115"/>
      <c r="AU33" s="119"/>
      <c r="AV33" s="120"/>
      <c r="AW33" s="120"/>
      <c r="AX33" s="120"/>
      <c r="AY33" s="120"/>
      <c r="AZ33" s="120"/>
      <c r="BA33" s="120"/>
      <c r="BB33" s="120"/>
      <c r="BC33" s="120"/>
      <c r="BD33" s="120"/>
      <c r="BE33" s="120"/>
      <c r="BF33" s="120"/>
      <c r="BG33" s="120"/>
      <c r="BH33" s="120"/>
      <c r="BI33" s="120"/>
      <c r="BJ33" s="121"/>
    </row>
    <row r="34" spans="2:62">
      <c r="B34" s="115"/>
      <c r="C34" s="115"/>
      <c r="D34" s="115"/>
      <c r="E34" s="115"/>
      <c r="F34" s="132"/>
      <c r="G34" s="133"/>
      <c r="H34" s="133"/>
      <c r="I34" s="133"/>
      <c r="J34" s="133"/>
      <c r="K34" s="133"/>
      <c r="L34" s="133"/>
      <c r="M34" s="133"/>
      <c r="N34" s="133"/>
      <c r="O34" s="133"/>
      <c r="P34" s="133"/>
      <c r="Q34" s="133"/>
      <c r="R34" s="134"/>
      <c r="S34" s="86"/>
      <c r="T34" s="128"/>
      <c r="U34" s="128"/>
      <c r="V34" s="128"/>
      <c r="W34" s="128"/>
      <c r="X34" s="128"/>
      <c r="Y34" s="128"/>
      <c r="Z34" s="128"/>
      <c r="AA34" s="128"/>
      <c r="AB34" s="128"/>
      <c r="AC34" s="128"/>
      <c r="AD34" s="128"/>
      <c r="AE34" s="128"/>
      <c r="AF34" s="128"/>
      <c r="AG34" s="128"/>
      <c r="AH34" s="86"/>
      <c r="AI34" s="115"/>
      <c r="AJ34" s="86"/>
      <c r="AK34" s="115"/>
      <c r="AL34" s="115"/>
      <c r="AM34" s="115"/>
      <c r="AN34" s="115"/>
      <c r="AO34" s="115"/>
      <c r="AP34" s="86"/>
      <c r="AQ34" s="115"/>
      <c r="AR34" s="115"/>
      <c r="AS34" s="115"/>
      <c r="AT34" s="115"/>
      <c r="AU34" s="122"/>
      <c r="AV34" s="123"/>
      <c r="AW34" s="123"/>
      <c r="AX34" s="123"/>
      <c r="AY34" s="123"/>
      <c r="AZ34" s="123"/>
      <c r="BA34" s="123"/>
      <c r="BB34" s="123"/>
      <c r="BC34" s="123"/>
      <c r="BD34" s="123"/>
      <c r="BE34" s="123"/>
      <c r="BF34" s="123"/>
      <c r="BG34" s="123"/>
      <c r="BH34" s="123"/>
      <c r="BI34" s="123"/>
      <c r="BJ34" s="124"/>
    </row>
    <row r="35" spans="2:62">
      <c r="B35" s="115"/>
      <c r="C35" s="115"/>
      <c r="D35" s="115"/>
      <c r="E35" s="115"/>
      <c r="F35" s="125"/>
      <c r="G35" s="126"/>
      <c r="H35" s="126"/>
      <c r="I35" s="126"/>
      <c r="J35" s="126"/>
      <c r="K35" s="126"/>
      <c r="L35" s="126"/>
      <c r="M35" s="126"/>
      <c r="N35" s="126"/>
      <c r="O35" s="126"/>
      <c r="P35" s="126"/>
      <c r="Q35" s="126"/>
      <c r="R35" s="127"/>
      <c r="S35" s="86"/>
      <c r="T35" s="128"/>
      <c r="U35" s="128"/>
      <c r="V35" s="128"/>
      <c r="W35" s="128"/>
      <c r="X35" s="128"/>
      <c r="Y35" s="128"/>
      <c r="Z35" s="128"/>
      <c r="AA35" s="128"/>
      <c r="AB35" s="128"/>
      <c r="AC35" s="128"/>
      <c r="AD35" s="128"/>
      <c r="AE35" s="128"/>
      <c r="AF35" s="128"/>
      <c r="AG35" s="128"/>
      <c r="AH35" s="86"/>
      <c r="AI35" s="115"/>
      <c r="AJ35" s="86"/>
      <c r="AK35" s="115"/>
      <c r="AL35" s="115"/>
      <c r="AM35" s="115"/>
      <c r="AN35" s="115"/>
      <c r="AO35" s="115"/>
      <c r="AP35" s="86"/>
      <c r="AQ35" s="115"/>
      <c r="AR35" s="115"/>
      <c r="AS35" s="115"/>
      <c r="AT35" s="115"/>
      <c r="AU35" s="116"/>
      <c r="AV35" s="117"/>
      <c r="AW35" s="117"/>
      <c r="AX35" s="117"/>
      <c r="AY35" s="117"/>
      <c r="AZ35" s="117"/>
      <c r="BA35" s="117"/>
      <c r="BB35" s="117"/>
      <c r="BC35" s="117"/>
      <c r="BD35" s="117"/>
      <c r="BE35" s="117"/>
      <c r="BF35" s="117"/>
      <c r="BG35" s="117"/>
      <c r="BH35" s="117"/>
      <c r="BI35" s="117"/>
      <c r="BJ35" s="118"/>
    </row>
    <row r="36" spans="2:62">
      <c r="B36" s="115"/>
      <c r="C36" s="115"/>
      <c r="D36" s="115"/>
      <c r="E36" s="115"/>
      <c r="F36" s="129"/>
      <c r="G36" s="130"/>
      <c r="H36" s="130"/>
      <c r="I36" s="130"/>
      <c r="J36" s="130"/>
      <c r="K36" s="130"/>
      <c r="L36" s="130"/>
      <c r="M36" s="130"/>
      <c r="N36" s="130"/>
      <c r="O36" s="130"/>
      <c r="P36" s="130"/>
      <c r="Q36" s="130"/>
      <c r="R36" s="131"/>
      <c r="S36" s="86"/>
      <c r="T36" s="128"/>
      <c r="U36" s="128"/>
      <c r="V36" s="128"/>
      <c r="W36" s="128"/>
      <c r="X36" s="128"/>
      <c r="Y36" s="128"/>
      <c r="Z36" s="128"/>
      <c r="AA36" s="128"/>
      <c r="AB36" s="128"/>
      <c r="AC36" s="128"/>
      <c r="AD36" s="128"/>
      <c r="AE36" s="128"/>
      <c r="AF36" s="128"/>
      <c r="AG36" s="128"/>
      <c r="AH36" s="86"/>
      <c r="AI36" s="115"/>
      <c r="AJ36" s="86"/>
      <c r="AK36" s="115"/>
      <c r="AL36" s="115"/>
      <c r="AM36" s="115"/>
      <c r="AN36" s="115"/>
      <c r="AO36" s="115"/>
      <c r="AP36" s="86"/>
      <c r="AQ36" s="115"/>
      <c r="AR36" s="115"/>
      <c r="AS36" s="115"/>
      <c r="AT36" s="115"/>
      <c r="AU36" s="119"/>
      <c r="AV36" s="120"/>
      <c r="AW36" s="120"/>
      <c r="AX36" s="120"/>
      <c r="AY36" s="120"/>
      <c r="AZ36" s="120"/>
      <c r="BA36" s="120"/>
      <c r="BB36" s="120"/>
      <c r="BC36" s="120"/>
      <c r="BD36" s="120"/>
      <c r="BE36" s="120"/>
      <c r="BF36" s="120"/>
      <c r="BG36" s="120"/>
      <c r="BH36" s="120"/>
      <c r="BI36" s="120"/>
      <c r="BJ36" s="121"/>
    </row>
    <row r="37" spans="2:62">
      <c r="B37" s="115"/>
      <c r="C37" s="115"/>
      <c r="D37" s="115"/>
      <c r="E37" s="115"/>
      <c r="F37" s="132"/>
      <c r="G37" s="133"/>
      <c r="H37" s="133"/>
      <c r="I37" s="133"/>
      <c r="J37" s="133"/>
      <c r="K37" s="133"/>
      <c r="L37" s="133"/>
      <c r="M37" s="133"/>
      <c r="N37" s="133"/>
      <c r="O37" s="133"/>
      <c r="P37" s="133"/>
      <c r="Q37" s="133"/>
      <c r="R37" s="134"/>
      <c r="S37" s="86"/>
      <c r="T37" s="128"/>
      <c r="U37" s="128"/>
      <c r="V37" s="128"/>
      <c r="W37" s="128"/>
      <c r="X37" s="128"/>
      <c r="Y37" s="128"/>
      <c r="Z37" s="128"/>
      <c r="AA37" s="128"/>
      <c r="AB37" s="128"/>
      <c r="AC37" s="128"/>
      <c r="AD37" s="128"/>
      <c r="AE37" s="128"/>
      <c r="AF37" s="128"/>
      <c r="AG37" s="128"/>
      <c r="AH37" s="86"/>
      <c r="AI37" s="115"/>
      <c r="AJ37" s="86"/>
      <c r="AK37" s="115"/>
      <c r="AL37" s="115"/>
      <c r="AM37" s="115"/>
      <c r="AN37" s="115"/>
      <c r="AO37" s="115"/>
      <c r="AP37" s="86"/>
      <c r="AQ37" s="115"/>
      <c r="AR37" s="115"/>
      <c r="AS37" s="115"/>
      <c r="AT37" s="115"/>
      <c r="AU37" s="122"/>
      <c r="AV37" s="123"/>
      <c r="AW37" s="123"/>
      <c r="AX37" s="123"/>
      <c r="AY37" s="123"/>
      <c r="AZ37" s="123"/>
      <c r="BA37" s="123"/>
      <c r="BB37" s="123"/>
      <c r="BC37" s="123"/>
      <c r="BD37" s="123"/>
      <c r="BE37" s="123"/>
      <c r="BF37" s="123"/>
      <c r="BG37" s="123"/>
      <c r="BH37" s="123"/>
      <c r="BI37" s="123"/>
      <c r="BJ37" s="124"/>
    </row>
    <row r="38" spans="2:62">
      <c r="B38" s="115"/>
      <c r="C38" s="115"/>
      <c r="D38" s="115"/>
      <c r="E38" s="115"/>
      <c r="F38" s="125"/>
      <c r="G38" s="126"/>
      <c r="H38" s="126"/>
      <c r="I38" s="126"/>
      <c r="J38" s="126"/>
      <c r="K38" s="126"/>
      <c r="L38" s="126"/>
      <c r="M38" s="126"/>
      <c r="N38" s="126"/>
      <c r="O38" s="126"/>
      <c r="P38" s="126"/>
      <c r="Q38" s="126"/>
      <c r="R38" s="127"/>
      <c r="S38" s="86"/>
      <c r="T38" s="128"/>
      <c r="U38" s="128"/>
      <c r="V38" s="128"/>
      <c r="W38" s="128"/>
      <c r="X38" s="128"/>
      <c r="Y38" s="128"/>
      <c r="Z38" s="128"/>
      <c r="AA38" s="128"/>
      <c r="AB38" s="128"/>
      <c r="AC38" s="128"/>
      <c r="AD38" s="128"/>
      <c r="AE38" s="128"/>
      <c r="AF38" s="128"/>
      <c r="AG38" s="128"/>
      <c r="AH38" s="86"/>
      <c r="AI38" s="115"/>
      <c r="AJ38" s="86"/>
      <c r="AK38" s="115"/>
      <c r="AL38" s="115"/>
      <c r="AM38" s="115"/>
      <c r="AN38" s="115"/>
      <c r="AO38" s="115"/>
      <c r="AP38" s="86"/>
      <c r="AQ38" s="115"/>
      <c r="AR38" s="115"/>
      <c r="AS38" s="115"/>
      <c r="AT38" s="115"/>
      <c r="AU38" s="116"/>
      <c r="AV38" s="117"/>
      <c r="AW38" s="117"/>
      <c r="AX38" s="117"/>
      <c r="AY38" s="117"/>
      <c r="AZ38" s="117"/>
      <c r="BA38" s="117"/>
      <c r="BB38" s="117"/>
      <c r="BC38" s="117"/>
      <c r="BD38" s="117"/>
      <c r="BE38" s="117"/>
      <c r="BF38" s="117"/>
      <c r="BG38" s="117"/>
      <c r="BH38" s="117"/>
      <c r="BI38" s="117"/>
      <c r="BJ38" s="118"/>
    </row>
    <row r="39" spans="2:62">
      <c r="B39" s="115"/>
      <c r="C39" s="115"/>
      <c r="D39" s="115"/>
      <c r="E39" s="115"/>
      <c r="F39" s="129"/>
      <c r="G39" s="130"/>
      <c r="H39" s="130"/>
      <c r="I39" s="130"/>
      <c r="J39" s="130"/>
      <c r="K39" s="130"/>
      <c r="L39" s="130"/>
      <c r="M39" s="130"/>
      <c r="N39" s="130"/>
      <c r="O39" s="130"/>
      <c r="P39" s="130"/>
      <c r="Q39" s="130"/>
      <c r="R39" s="131"/>
      <c r="S39" s="86"/>
      <c r="T39" s="128"/>
      <c r="U39" s="128"/>
      <c r="V39" s="128"/>
      <c r="W39" s="128"/>
      <c r="X39" s="128"/>
      <c r="Y39" s="128"/>
      <c r="Z39" s="128"/>
      <c r="AA39" s="128"/>
      <c r="AB39" s="128"/>
      <c r="AC39" s="128"/>
      <c r="AD39" s="128"/>
      <c r="AE39" s="128"/>
      <c r="AF39" s="128"/>
      <c r="AG39" s="128"/>
      <c r="AH39" s="86"/>
      <c r="AI39" s="115"/>
      <c r="AJ39" s="86"/>
      <c r="AK39" s="115"/>
      <c r="AL39" s="115"/>
      <c r="AM39" s="115"/>
      <c r="AN39" s="115"/>
      <c r="AO39" s="115"/>
      <c r="AP39" s="86"/>
      <c r="AQ39" s="115"/>
      <c r="AR39" s="115"/>
      <c r="AS39" s="115"/>
      <c r="AT39" s="115"/>
      <c r="AU39" s="119"/>
      <c r="AV39" s="120"/>
      <c r="AW39" s="120"/>
      <c r="AX39" s="120"/>
      <c r="AY39" s="120"/>
      <c r="AZ39" s="120"/>
      <c r="BA39" s="120"/>
      <c r="BB39" s="120"/>
      <c r="BC39" s="120"/>
      <c r="BD39" s="120"/>
      <c r="BE39" s="120"/>
      <c r="BF39" s="120"/>
      <c r="BG39" s="120"/>
      <c r="BH39" s="120"/>
      <c r="BI39" s="120"/>
      <c r="BJ39" s="121"/>
    </row>
    <row r="40" spans="2:62">
      <c r="B40" s="115"/>
      <c r="C40" s="115"/>
      <c r="D40" s="115"/>
      <c r="E40" s="115"/>
      <c r="F40" s="132"/>
      <c r="G40" s="133"/>
      <c r="H40" s="133"/>
      <c r="I40" s="133"/>
      <c r="J40" s="133"/>
      <c r="K40" s="133"/>
      <c r="L40" s="133"/>
      <c r="M40" s="133"/>
      <c r="N40" s="133"/>
      <c r="O40" s="133"/>
      <c r="P40" s="133"/>
      <c r="Q40" s="133"/>
      <c r="R40" s="134"/>
      <c r="S40" s="86"/>
      <c r="T40" s="128"/>
      <c r="U40" s="128"/>
      <c r="V40" s="128"/>
      <c r="W40" s="128"/>
      <c r="X40" s="128"/>
      <c r="Y40" s="128"/>
      <c r="Z40" s="128"/>
      <c r="AA40" s="128"/>
      <c r="AB40" s="128"/>
      <c r="AC40" s="128"/>
      <c r="AD40" s="128"/>
      <c r="AE40" s="128"/>
      <c r="AF40" s="128"/>
      <c r="AG40" s="128"/>
      <c r="AH40" s="86"/>
      <c r="AI40" s="115"/>
      <c r="AJ40" s="86"/>
      <c r="AK40" s="115"/>
      <c r="AL40" s="115"/>
      <c r="AM40" s="115"/>
      <c r="AN40" s="115"/>
      <c r="AO40" s="115"/>
      <c r="AP40" s="86"/>
      <c r="AQ40" s="115"/>
      <c r="AR40" s="115"/>
      <c r="AS40" s="115"/>
      <c r="AT40" s="115"/>
      <c r="AU40" s="122"/>
      <c r="AV40" s="123"/>
      <c r="AW40" s="123"/>
      <c r="AX40" s="123"/>
      <c r="AY40" s="123"/>
      <c r="AZ40" s="123"/>
      <c r="BA40" s="123"/>
      <c r="BB40" s="123"/>
      <c r="BC40" s="123"/>
      <c r="BD40" s="123"/>
      <c r="BE40" s="123"/>
      <c r="BF40" s="123"/>
      <c r="BG40" s="123"/>
      <c r="BH40" s="123"/>
      <c r="BI40" s="123"/>
      <c r="BJ40" s="124"/>
    </row>
    <row r="41" spans="2:62">
      <c r="B41" s="115"/>
      <c r="C41" s="115"/>
      <c r="D41" s="115"/>
      <c r="E41" s="115"/>
      <c r="F41" s="125"/>
      <c r="G41" s="126"/>
      <c r="H41" s="126"/>
      <c r="I41" s="126"/>
      <c r="J41" s="126"/>
      <c r="K41" s="126"/>
      <c r="L41" s="126"/>
      <c r="M41" s="126"/>
      <c r="N41" s="126"/>
      <c r="O41" s="126"/>
      <c r="P41" s="126"/>
      <c r="Q41" s="126"/>
      <c r="R41" s="127"/>
      <c r="S41" s="86"/>
      <c r="T41" s="128"/>
      <c r="U41" s="128"/>
      <c r="V41" s="128"/>
      <c r="W41" s="128"/>
      <c r="X41" s="128"/>
      <c r="Y41" s="128"/>
      <c r="Z41" s="128"/>
      <c r="AA41" s="128"/>
      <c r="AB41" s="128"/>
      <c r="AC41" s="128"/>
      <c r="AD41" s="128"/>
      <c r="AE41" s="128"/>
      <c r="AF41" s="128"/>
      <c r="AG41" s="128"/>
      <c r="AH41" s="86"/>
      <c r="AI41" s="115"/>
      <c r="AJ41" s="86"/>
      <c r="AK41" s="115"/>
      <c r="AL41" s="115"/>
      <c r="AM41" s="115"/>
      <c r="AN41" s="115"/>
      <c r="AO41" s="115"/>
      <c r="AP41" s="86"/>
      <c r="AQ41" s="115"/>
      <c r="AR41" s="115"/>
      <c r="AS41" s="115"/>
      <c r="AT41" s="115"/>
      <c r="AU41" s="116"/>
      <c r="AV41" s="117"/>
      <c r="AW41" s="117"/>
      <c r="AX41" s="117"/>
      <c r="AY41" s="117"/>
      <c r="AZ41" s="117"/>
      <c r="BA41" s="117"/>
      <c r="BB41" s="117"/>
      <c r="BC41" s="117"/>
      <c r="BD41" s="117"/>
      <c r="BE41" s="117"/>
      <c r="BF41" s="117"/>
      <c r="BG41" s="117"/>
      <c r="BH41" s="117"/>
      <c r="BI41" s="117"/>
      <c r="BJ41" s="118"/>
    </row>
    <row r="42" spans="2:62">
      <c r="B42" s="115"/>
      <c r="C42" s="115"/>
      <c r="D42" s="115"/>
      <c r="E42" s="115"/>
      <c r="F42" s="129"/>
      <c r="G42" s="130"/>
      <c r="H42" s="130"/>
      <c r="I42" s="130"/>
      <c r="J42" s="130"/>
      <c r="K42" s="130"/>
      <c r="L42" s="130"/>
      <c r="M42" s="130"/>
      <c r="N42" s="130"/>
      <c r="O42" s="130"/>
      <c r="P42" s="130"/>
      <c r="Q42" s="130"/>
      <c r="R42" s="131"/>
      <c r="S42" s="86"/>
      <c r="T42" s="128"/>
      <c r="U42" s="128"/>
      <c r="V42" s="128"/>
      <c r="W42" s="128"/>
      <c r="X42" s="128"/>
      <c r="Y42" s="128"/>
      <c r="Z42" s="128"/>
      <c r="AA42" s="128"/>
      <c r="AB42" s="128"/>
      <c r="AC42" s="128"/>
      <c r="AD42" s="128"/>
      <c r="AE42" s="128"/>
      <c r="AF42" s="128"/>
      <c r="AG42" s="128"/>
      <c r="AH42" s="86"/>
      <c r="AI42" s="115"/>
      <c r="AJ42" s="86"/>
      <c r="AK42" s="115"/>
      <c r="AL42" s="115"/>
      <c r="AM42" s="115"/>
      <c r="AN42" s="115"/>
      <c r="AO42" s="115"/>
      <c r="AP42" s="86"/>
      <c r="AQ42" s="115"/>
      <c r="AR42" s="115"/>
      <c r="AS42" s="115"/>
      <c r="AT42" s="115"/>
      <c r="AU42" s="119"/>
      <c r="AV42" s="120"/>
      <c r="AW42" s="120"/>
      <c r="AX42" s="120"/>
      <c r="AY42" s="120"/>
      <c r="AZ42" s="120"/>
      <c r="BA42" s="120"/>
      <c r="BB42" s="120"/>
      <c r="BC42" s="120"/>
      <c r="BD42" s="120"/>
      <c r="BE42" s="120"/>
      <c r="BF42" s="120"/>
      <c r="BG42" s="120"/>
      <c r="BH42" s="120"/>
      <c r="BI42" s="120"/>
      <c r="BJ42" s="121"/>
    </row>
    <row r="43" spans="2:62">
      <c r="B43" s="115"/>
      <c r="C43" s="115"/>
      <c r="D43" s="115"/>
      <c r="E43" s="115"/>
      <c r="F43" s="132"/>
      <c r="G43" s="133"/>
      <c r="H43" s="133"/>
      <c r="I43" s="133"/>
      <c r="J43" s="133"/>
      <c r="K43" s="133"/>
      <c r="L43" s="133"/>
      <c r="M43" s="133"/>
      <c r="N43" s="133"/>
      <c r="O43" s="133"/>
      <c r="P43" s="133"/>
      <c r="Q43" s="133"/>
      <c r="R43" s="134"/>
      <c r="S43" s="86"/>
      <c r="T43" s="128"/>
      <c r="U43" s="128"/>
      <c r="V43" s="128"/>
      <c r="W43" s="128"/>
      <c r="X43" s="128"/>
      <c r="Y43" s="128"/>
      <c r="Z43" s="128"/>
      <c r="AA43" s="128"/>
      <c r="AB43" s="128"/>
      <c r="AC43" s="128"/>
      <c r="AD43" s="128"/>
      <c r="AE43" s="128"/>
      <c r="AF43" s="128"/>
      <c r="AG43" s="128"/>
      <c r="AH43" s="86"/>
      <c r="AI43" s="115"/>
      <c r="AJ43" s="86"/>
      <c r="AK43" s="115"/>
      <c r="AL43" s="115"/>
      <c r="AM43" s="115"/>
      <c r="AN43" s="115"/>
      <c r="AO43" s="115"/>
      <c r="AP43" s="86"/>
      <c r="AQ43" s="115"/>
      <c r="AR43" s="115"/>
      <c r="AS43" s="115"/>
      <c r="AT43" s="115"/>
      <c r="AU43" s="122"/>
      <c r="AV43" s="123"/>
      <c r="AW43" s="123"/>
      <c r="AX43" s="123"/>
      <c r="AY43" s="123"/>
      <c r="AZ43" s="123"/>
      <c r="BA43" s="123"/>
      <c r="BB43" s="123"/>
      <c r="BC43" s="123"/>
      <c r="BD43" s="123"/>
      <c r="BE43" s="123"/>
      <c r="BF43" s="123"/>
      <c r="BG43" s="123"/>
      <c r="BH43" s="123"/>
      <c r="BI43" s="123"/>
      <c r="BJ43" s="124"/>
    </row>
    <row r="44" spans="2:62">
      <c r="B44" s="115"/>
      <c r="C44" s="115"/>
      <c r="D44" s="115"/>
      <c r="E44" s="115"/>
      <c r="F44" s="125"/>
      <c r="G44" s="126"/>
      <c r="H44" s="126"/>
      <c r="I44" s="126"/>
      <c r="J44" s="126"/>
      <c r="K44" s="126"/>
      <c r="L44" s="126"/>
      <c r="M44" s="126"/>
      <c r="N44" s="126"/>
      <c r="O44" s="126"/>
      <c r="P44" s="126"/>
      <c r="Q44" s="126"/>
      <c r="R44" s="127"/>
      <c r="S44" s="86"/>
      <c r="T44" s="128"/>
      <c r="U44" s="128"/>
      <c r="V44" s="128"/>
      <c r="W44" s="128"/>
      <c r="X44" s="128"/>
      <c r="Y44" s="128"/>
      <c r="Z44" s="128"/>
      <c r="AA44" s="128"/>
      <c r="AB44" s="128"/>
      <c r="AC44" s="128"/>
      <c r="AD44" s="128"/>
      <c r="AE44" s="128"/>
      <c r="AF44" s="128"/>
      <c r="AG44" s="128"/>
      <c r="AH44" s="86"/>
      <c r="AI44" s="115"/>
      <c r="AJ44" s="86"/>
      <c r="AK44" s="115"/>
      <c r="AL44" s="115"/>
      <c r="AM44" s="115"/>
      <c r="AN44" s="115"/>
      <c r="AO44" s="115"/>
      <c r="AP44" s="86"/>
      <c r="AQ44" s="115"/>
      <c r="AR44" s="115"/>
      <c r="AS44" s="115"/>
      <c r="AT44" s="115"/>
      <c r="AU44" s="116"/>
      <c r="AV44" s="117"/>
      <c r="AW44" s="117"/>
      <c r="AX44" s="117"/>
      <c r="AY44" s="117"/>
      <c r="AZ44" s="117"/>
      <c r="BA44" s="117"/>
      <c r="BB44" s="117"/>
      <c r="BC44" s="117"/>
      <c r="BD44" s="117"/>
      <c r="BE44" s="117"/>
      <c r="BF44" s="117"/>
      <c r="BG44" s="117"/>
      <c r="BH44" s="117"/>
      <c r="BI44" s="117"/>
      <c r="BJ44" s="118"/>
    </row>
    <row r="45" spans="2:62">
      <c r="B45" s="115"/>
      <c r="C45" s="115"/>
      <c r="D45" s="115"/>
      <c r="E45" s="115"/>
      <c r="F45" s="129"/>
      <c r="G45" s="130"/>
      <c r="H45" s="130"/>
      <c r="I45" s="130"/>
      <c r="J45" s="130"/>
      <c r="K45" s="130"/>
      <c r="L45" s="130"/>
      <c r="M45" s="130"/>
      <c r="N45" s="130"/>
      <c r="O45" s="130"/>
      <c r="P45" s="130"/>
      <c r="Q45" s="130"/>
      <c r="R45" s="131"/>
      <c r="S45" s="86"/>
      <c r="T45" s="128"/>
      <c r="U45" s="128"/>
      <c r="V45" s="128"/>
      <c r="W45" s="128"/>
      <c r="X45" s="128"/>
      <c r="Y45" s="128"/>
      <c r="Z45" s="128"/>
      <c r="AA45" s="128"/>
      <c r="AB45" s="128"/>
      <c r="AC45" s="128"/>
      <c r="AD45" s="128"/>
      <c r="AE45" s="128"/>
      <c r="AF45" s="128"/>
      <c r="AG45" s="128"/>
      <c r="AH45" s="86"/>
      <c r="AI45" s="115"/>
      <c r="AJ45" s="86"/>
      <c r="AK45" s="115"/>
      <c r="AL45" s="115"/>
      <c r="AM45" s="115"/>
      <c r="AN45" s="115"/>
      <c r="AO45" s="115"/>
      <c r="AP45" s="86"/>
      <c r="AQ45" s="115"/>
      <c r="AR45" s="115"/>
      <c r="AS45" s="115"/>
      <c r="AT45" s="115"/>
      <c r="AU45" s="119"/>
      <c r="AV45" s="120"/>
      <c r="AW45" s="120"/>
      <c r="AX45" s="120"/>
      <c r="AY45" s="120"/>
      <c r="AZ45" s="120"/>
      <c r="BA45" s="120"/>
      <c r="BB45" s="120"/>
      <c r="BC45" s="120"/>
      <c r="BD45" s="120"/>
      <c r="BE45" s="120"/>
      <c r="BF45" s="120"/>
      <c r="BG45" s="120"/>
      <c r="BH45" s="120"/>
      <c r="BI45" s="120"/>
      <c r="BJ45" s="121"/>
    </row>
    <row r="46" spans="2:62">
      <c r="B46" s="115"/>
      <c r="C46" s="115"/>
      <c r="D46" s="115"/>
      <c r="E46" s="115"/>
      <c r="F46" s="132"/>
      <c r="G46" s="133"/>
      <c r="H46" s="133"/>
      <c r="I46" s="133"/>
      <c r="J46" s="133"/>
      <c r="K46" s="133"/>
      <c r="L46" s="133"/>
      <c r="M46" s="133"/>
      <c r="N46" s="133"/>
      <c r="O46" s="133"/>
      <c r="P46" s="133"/>
      <c r="Q46" s="133"/>
      <c r="R46" s="134"/>
      <c r="S46" s="86"/>
      <c r="T46" s="128"/>
      <c r="U46" s="128"/>
      <c r="V46" s="128"/>
      <c r="W46" s="128"/>
      <c r="X46" s="128"/>
      <c r="Y46" s="128"/>
      <c r="Z46" s="128"/>
      <c r="AA46" s="128"/>
      <c r="AB46" s="128"/>
      <c r="AC46" s="128"/>
      <c r="AD46" s="128"/>
      <c r="AE46" s="128"/>
      <c r="AF46" s="128"/>
      <c r="AG46" s="128"/>
      <c r="AH46" s="86"/>
      <c r="AI46" s="115"/>
      <c r="AJ46" s="86"/>
      <c r="AK46" s="115"/>
      <c r="AL46" s="115"/>
      <c r="AM46" s="115"/>
      <c r="AN46" s="115"/>
      <c r="AO46" s="115"/>
      <c r="AP46" s="86"/>
      <c r="AQ46" s="115"/>
      <c r="AR46" s="115"/>
      <c r="AS46" s="115"/>
      <c r="AT46" s="115"/>
      <c r="AU46" s="122"/>
      <c r="AV46" s="123"/>
      <c r="AW46" s="123"/>
      <c r="AX46" s="123"/>
      <c r="AY46" s="123"/>
      <c r="AZ46" s="123"/>
      <c r="BA46" s="123"/>
      <c r="BB46" s="123"/>
      <c r="BC46" s="123"/>
      <c r="BD46" s="123"/>
      <c r="BE46" s="123"/>
      <c r="BF46" s="123"/>
      <c r="BG46" s="123"/>
      <c r="BH46" s="123"/>
      <c r="BI46" s="123"/>
      <c r="BJ46" s="124"/>
    </row>
    <row r="47" spans="2:62">
      <c r="B47" s="115"/>
      <c r="C47" s="115"/>
      <c r="D47" s="115"/>
      <c r="E47" s="115"/>
      <c r="F47" s="125"/>
      <c r="G47" s="126"/>
      <c r="H47" s="126"/>
      <c r="I47" s="126"/>
      <c r="J47" s="126"/>
      <c r="K47" s="126"/>
      <c r="L47" s="126"/>
      <c r="M47" s="126"/>
      <c r="N47" s="126"/>
      <c r="O47" s="126"/>
      <c r="P47" s="126"/>
      <c r="Q47" s="126"/>
      <c r="R47" s="127"/>
      <c r="S47" s="86"/>
      <c r="T47" s="128"/>
      <c r="U47" s="128"/>
      <c r="V47" s="128"/>
      <c r="W47" s="128"/>
      <c r="X47" s="128"/>
      <c r="Y47" s="128"/>
      <c r="Z47" s="128"/>
      <c r="AA47" s="128"/>
      <c r="AB47" s="128"/>
      <c r="AC47" s="128"/>
      <c r="AD47" s="128"/>
      <c r="AE47" s="128"/>
      <c r="AF47" s="128"/>
      <c r="AG47" s="128"/>
      <c r="AH47" s="86"/>
      <c r="AI47" s="115"/>
      <c r="AJ47" s="86"/>
      <c r="AK47" s="115"/>
      <c r="AL47" s="115"/>
      <c r="AM47" s="115"/>
      <c r="AN47" s="115"/>
      <c r="AO47" s="115"/>
      <c r="AP47" s="86"/>
      <c r="AQ47" s="115"/>
      <c r="AR47" s="115"/>
      <c r="AS47" s="115"/>
      <c r="AT47" s="115"/>
      <c r="AU47" s="116"/>
      <c r="AV47" s="117"/>
      <c r="AW47" s="117"/>
      <c r="AX47" s="117"/>
      <c r="AY47" s="117"/>
      <c r="AZ47" s="117"/>
      <c r="BA47" s="117"/>
      <c r="BB47" s="117"/>
      <c r="BC47" s="117"/>
      <c r="BD47" s="117"/>
      <c r="BE47" s="117"/>
      <c r="BF47" s="117"/>
      <c r="BG47" s="117"/>
      <c r="BH47" s="117"/>
      <c r="BI47" s="117"/>
      <c r="BJ47" s="118"/>
    </row>
    <row r="48" spans="2:62">
      <c r="B48" s="115"/>
      <c r="C48" s="115"/>
      <c r="D48" s="115"/>
      <c r="E48" s="115"/>
      <c r="F48" s="129"/>
      <c r="G48" s="130"/>
      <c r="H48" s="130"/>
      <c r="I48" s="130"/>
      <c r="J48" s="130"/>
      <c r="K48" s="130"/>
      <c r="L48" s="130"/>
      <c r="M48" s="130"/>
      <c r="N48" s="130"/>
      <c r="O48" s="130"/>
      <c r="P48" s="130"/>
      <c r="Q48" s="130"/>
      <c r="R48" s="131"/>
      <c r="S48" s="86"/>
      <c r="T48" s="128"/>
      <c r="U48" s="128"/>
      <c r="V48" s="128"/>
      <c r="W48" s="128"/>
      <c r="X48" s="128"/>
      <c r="Y48" s="128"/>
      <c r="Z48" s="128"/>
      <c r="AA48" s="128"/>
      <c r="AB48" s="128"/>
      <c r="AC48" s="128"/>
      <c r="AD48" s="128"/>
      <c r="AE48" s="128"/>
      <c r="AF48" s="128"/>
      <c r="AG48" s="128"/>
      <c r="AH48" s="86"/>
      <c r="AI48" s="115"/>
      <c r="AJ48" s="86"/>
      <c r="AK48" s="115"/>
      <c r="AL48" s="115"/>
      <c r="AM48" s="115"/>
      <c r="AN48" s="115"/>
      <c r="AO48" s="115"/>
      <c r="AP48" s="86"/>
      <c r="AQ48" s="115"/>
      <c r="AR48" s="115"/>
      <c r="AS48" s="115"/>
      <c r="AT48" s="115"/>
      <c r="AU48" s="119"/>
      <c r="AV48" s="120"/>
      <c r="AW48" s="120"/>
      <c r="AX48" s="120"/>
      <c r="AY48" s="120"/>
      <c r="AZ48" s="120"/>
      <c r="BA48" s="120"/>
      <c r="BB48" s="120"/>
      <c r="BC48" s="120"/>
      <c r="BD48" s="120"/>
      <c r="BE48" s="120"/>
      <c r="BF48" s="120"/>
      <c r="BG48" s="120"/>
      <c r="BH48" s="120"/>
      <c r="BI48" s="120"/>
      <c r="BJ48" s="121"/>
    </row>
    <row r="49" spans="2:62">
      <c r="B49" s="115"/>
      <c r="C49" s="115"/>
      <c r="D49" s="115"/>
      <c r="E49" s="115"/>
      <c r="F49" s="132"/>
      <c r="G49" s="133"/>
      <c r="H49" s="133"/>
      <c r="I49" s="133"/>
      <c r="J49" s="133"/>
      <c r="K49" s="133"/>
      <c r="L49" s="133"/>
      <c r="M49" s="133"/>
      <c r="N49" s="133"/>
      <c r="O49" s="133"/>
      <c r="P49" s="133"/>
      <c r="Q49" s="133"/>
      <c r="R49" s="134"/>
      <c r="S49" s="86"/>
      <c r="T49" s="128"/>
      <c r="U49" s="128"/>
      <c r="V49" s="128"/>
      <c r="W49" s="128"/>
      <c r="X49" s="128"/>
      <c r="Y49" s="128"/>
      <c r="Z49" s="128"/>
      <c r="AA49" s="128"/>
      <c r="AB49" s="128"/>
      <c r="AC49" s="128"/>
      <c r="AD49" s="128"/>
      <c r="AE49" s="128"/>
      <c r="AF49" s="128"/>
      <c r="AG49" s="128"/>
      <c r="AH49" s="86"/>
      <c r="AI49" s="115"/>
      <c r="AJ49" s="86"/>
      <c r="AK49" s="115"/>
      <c r="AL49" s="115"/>
      <c r="AM49" s="115"/>
      <c r="AN49" s="115"/>
      <c r="AO49" s="115"/>
      <c r="AP49" s="86"/>
      <c r="AQ49" s="115"/>
      <c r="AR49" s="115"/>
      <c r="AS49" s="115"/>
      <c r="AT49" s="115"/>
      <c r="AU49" s="122"/>
      <c r="AV49" s="123"/>
      <c r="AW49" s="123"/>
      <c r="AX49" s="123"/>
      <c r="AY49" s="123"/>
      <c r="AZ49" s="123"/>
      <c r="BA49" s="123"/>
      <c r="BB49" s="123"/>
      <c r="BC49" s="123"/>
      <c r="BD49" s="123"/>
      <c r="BE49" s="123"/>
      <c r="BF49" s="123"/>
      <c r="BG49" s="123"/>
      <c r="BH49" s="123"/>
      <c r="BI49" s="123"/>
      <c r="BJ49" s="124"/>
    </row>
    <row r="50" spans="2:62">
      <c r="B50" s="115"/>
      <c r="C50" s="115"/>
      <c r="D50" s="115"/>
      <c r="E50" s="115"/>
      <c r="F50" s="125"/>
      <c r="G50" s="126"/>
      <c r="H50" s="126"/>
      <c r="I50" s="126"/>
      <c r="J50" s="126"/>
      <c r="K50" s="126"/>
      <c r="L50" s="126"/>
      <c r="M50" s="126"/>
      <c r="N50" s="126"/>
      <c r="O50" s="126"/>
      <c r="P50" s="126"/>
      <c r="Q50" s="126"/>
      <c r="R50" s="127"/>
      <c r="S50" s="86"/>
      <c r="T50" s="128"/>
      <c r="U50" s="128"/>
      <c r="V50" s="128"/>
      <c r="W50" s="128"/>
      <c r="X50" s="128"/>
      <c r="Y50" s="128"/>
      <c r="Z50" s="128"/>
      <c r="AA50" s="128"/>
      <c r="AB50" s="128"/>
      <c r="AC50" s="128"/>
      <c r="AD50" s="128"/>
      <c r="AE50" s="128"/>
      <c r="AF50" s="128"/>
      <c r="AG50" s="128"/>
      <c r="AH50" s="86"/>
      <c r="AI50" s="115"/>
      <c r="AJ50" s="86"/>
      <c r="AK50" s="115"/>
      <c r="AL50" s="115"/>
      <c r="AM50" s="115"/>
      <c r="AN50" s="115"/>
      <c r="AO50" s="115"/>
      <c r="AP50" s="86"/>
      <c r="AQ50" s="115"/>
      <c r="AR50" s="115"/>
      <c r="AS50" s="115"/>
      <c r="AT50" s="115"/>
      <c r="AU50" s="116"/>
      <c r="AV50" s="117"/>
      <c r="AW50" s="117"/>
      <c r="AX50" s="117"/>
      <c r="AY50" s="117"/>
      <c r="AZ50" s="117"/>
      <c r="BA50" s="117"/>
      <c r="BB50" s="117"/>
      <c r="BC50" s="117"/>
      <c r="BD50" s="117"/>
      <c r="BE50" s="117"/>
      <c r="BF50" s="117"/>
      <c r="BG50" s="117"/>
      <c r="BH50" s="117"/>
      <c r="BI50" s="117"/>
      <c r="BJ50" s="118"/>
    </row>
    <row r="51" spans="2:62">
      <c r="B51" s="115"/>
      <c r="C51" s="115"/>
      <c r="D51" s="115"/>
      <c r="E51" s="115"/>
      <c r="F51" s="129"/>
      <c r="G51" s="130"/>
      <c r="H51" s="130"/>
      <c r="I51" s="130"/>
      <c r="J51" s="130"/>
      <c r="K51" s="130"/>
      <c r="L51" s="130"/>
      <c r="M51" s="130"/>
      <c r="N51" s="130"/>
      <c r="O51" s="130"/>
      <c r="P51" s="130"/>
      <c r="Q51" s="130"/>
      <c r="R51" s="131"/>
      <c r="S51" s="86"/>
      <c r="T51" s="128"/>
      <c r="U51" s="128"/>
      <c r="V51" s="128"/>
      <c r="W51" s="128"/>
      <c r="X51" s="128"/>
      <c r="Y51" s="128"/>
      <c r="Z51" s="128"/>
      <c r="AA51" s="128"/>
      <c r="AB51" s="128"/>
      <c r="AC51" s="128"/>
      <c r="AD51" s="128"/>
      <c r="AE51" s="128"/>
      <c r="AF51" s="128"/>
      <c r="AG51" s="128"/>
      <c r="AH51" s="86"/>
      <c r="AI51" s="115"/>
      <c r="AJ51" s="86"/>
      <c r="AK51" s="115"/>
      <c r="AL51" s="115"/>
      <c r="AM51" s="115"/>
      <c r="AN51" s="115"/>
      <c r="AO51" s="115"/>
      <c r="AP51" s="86"/>
      <c r="AQ51" s="115"/>
      <c r="AR51" s="115"/>
      <c r="AS51" s="115"/>
      <c r="AT51" s="115"/>
      <c r="AU51" s="119"/>
      <c r="AV51" s="120"/>
      <c r="AW51" s="120"/>
      <c r="AX51" s="120"/>
      <c r="AY51" s="120"/>
      <c r="AZ51" s="120"/>
      <c r="BA51" s="120"/>
      <c r="BB51" s="120"/>
      <c r="BC51" s="120"/>
      <c r="BD51" s="120"/>
      <c r="BE51" s="120"/>
      <c r="BF51" s="120"/>
      <c r="BG51" s="120"/>
      <c r="BH51" s="120"/>
      <c r="BI51" s="120"/>
      <c r="BJ51" s="121"/>
    </row>
    <row r="52" spans="2:62">
      <c r="B52" s="115"/>
      <c r="C52" s="115"/>
      <c r="D52" s="115"/>
      <c r="E52" s="115"/>
      <c r="F52" s="132"/>
      <c r="G52" s="133"/>
      <c r="H52" s="133"/>
      <c r="I52" s="133"/>
      <c r="J52" s="133"/>
      <c r="K52" s="133"/>
      <c r="L52" s="133"/>
      <c r="M52" s="133"/>
      <c r="N52" s="133"/>
      <c r="O52" s="133"/>
      <c r="P52" s="133"/>
      <c r="Q52" s="133"/>
      <c r="R52" s="134"/>
      <c r="S52" s="86"/>
      <c r="T52" s="128"/>
      <c r="U52" s="128"/>
      <c r="V52" s="128"/>
      <c r="W52" s="128"/>
      <c r="X52" s="128"/>
      <c r="Y52" s="128"/>
      <c r="Z52" s="128"/>
      <c r="AA52" s="128"/>
      <c r="AB52" s="128"/>
      <c r="AC52" s="128"/>
      <c r="AD52" s="128"/>
      <c r="AE52" s="128"/>
      <c r="AF52" s="128"/>
      <c r="AG52" s="128"/>
      <c r="AH52" s="86"/>
      <c r="AI52" s="115"/>
      <c r="AJ52" s="86"/>
      <c r="AK52" s="115"/>
      <c r="AL52" s="115"/>
      <c r="AM52" s="115"/>
      <c r="AN52" s="115"/>
      <c r="AO52" s="115"/>
      <c r="AP52" s="86"/>
      <c r="AQ52" s="115"/>
      <c r="AR52" s="115"/>
      <c r="AS52" s="115"/>
      <c r="AT52" s="115"/>
      <c r="AU52" s="122"/>
      <c r="AV52" s="123"/>
      <c r="AW52" s="123"/>
      <c r="AX52" s="123"/>
      <c r="AY52" s="123"/>
      <c r="AZ52" s="123"/>
      <c r="BA52" s="123"/>
      <c r="BB52" s="123"/>
      <c r="BC52" s="123"/>
      <c r="BD52" s="123"/>
      <c r="BE52" s="123"/>
      <c r="BF52" s="123"/>
      <c r="BG52" s="123"/>
      <c r="BH52" s="123"/>
      <c r="BI52" s="123"/>
      <c r="BJ52" s="124"/>
    </row>
    <row r="53" spans="2:62">
      <c r="B53" s="115"/>
      <c r="C53" s="115"/>
      <c r="D53" s="115"/>
      <c r="E53" s="115"/>
      <c r="F53" s="125"/>
      <c r="G53" s="126"/>
      <c r="H53" s="126"/>
      <c r="I53" s="126"/>
      <c r="J53" s="126"/>
      <c r="K53" s="126"/>
      <c r="L53" s="126"/>
      <c r="M53" s="126"/>
      <c r="N53" s="126"/>
      <c r="O53" s="126"/>
      <c r="P53" s="126"/>
      <c r="Q53" s="126"/>
      <c r="R53" s="127"/>
      <c r="S53" s="86"/>
      <c r="T53" s="128"/>
      <c r="U53" s="128"/>
      <c r="V53" s="128"/>
      <c r="W53" s="128"/>
      <c r="X53" s="128"/>
      <c r="Y53" s="128"/>
      <c r="Z53" s="128"/>
      <c r="AA53" s="128"/>
      <c r="AB53" s="128"/>
      <c r="AC53" s="128"/>
      <c r="AD53" s="128"/>
      <c r="AE53" s="128"/>
      <c r="AF53" s="128"/>
      <c r="AG53" s="128"/>
      <c r="AH53" s="86"/>
      <c r="AI53" s="115"/>
      <c r="AJ53" s="86"/>
      <c r="AK53" s="115"/>
      <c r="AL53" s="115"/>
      <c r="AM53" s="115"/>
      <c r="AN53" s="115"/>
      <c r="AO53" s="115"/>
      <c r="AP53" s="86"/>
      <c r="AQ53" s="115"/>
      <c r="AR53" s="115"/>
      <c r="AS53" s="115"/>
      <c r="AT53" s="115"/>
      <c r="AU53" s="116"/>
      <c r="AV53" s="117"/>
      <c r="AW53" s="117"/>
      <c r="AX53" s="117"/>
      <c r="AY53" s="117"/>
      <c r="AZ53" s="117"/>
      <c r="BA53" s="117"/>
      <c r="BB53" s="117"/>
      <c r="BC53" s="117"/>
      <c r="BD53" s="117"/>
      <c r="BE53" s="117"/>
      <c r="BF53" s="117"/>
      <c r="BG53" s="117"/>
      <c r="BH53" s="117"/>
      <c r="BI53" s="117"/>
      <c r="BJ53" s="118"/>
    </row>
    <row r="54" spans="2:62">
      <c r="B54" s="115"/>
      <c r="C54" s="115"/>
      <c r="D54" s="115"/>
      <c r="E54" s="115"/>
      <c r="F54" s="129"/>
      <c r="G54" s="130"/>
      <c r="H54" s="130"/>
      <c r="I54" s="130"/>
      <c r="J54" s="130"/>
      <c r="K54" s="130"/>
      <c r="L54" s="130"/>
      <c r="M54" s="130"/>
      <c r="N54" s="130"/>
      <c r="O54" s="130"/>
      <c r="P54" s="130"/>
      <c r="Q54" s="130"/>
      <c r="R54" s="131"/>
      <c r="S54" s="86"/>
      <c r="T54" s="128"/>
      <c r="U54" s="128"/>
      <c r="V54" s="128"/>
      <c r="W54" s="128"/>
      <c r="X54" s="128"/>
      <c r="Y54" s="128"/>
      <c r="Z54" s="128"/>
      <c r="AA54" s="128"/>
      <c r="AB54" s="128"/>
      <c r="AC54" s="128"/>
      <c r="AD54" s="128"/>
      <c r="AE54" s="128"/>
      <c r="AF54" s="128"/>
      <c r="AG54" s="128"/>
      <c r="AH54" s="86"/>
      <c r="AI54" s="115"/>
      <c r="AJ54" s="86"/>
      <c r="AK54" s="115"/>
      <c r="AL54" s="115"/>
      <c r="AM54" s="115"/>
      <c r="AN54" s="115"/>
      <c r="AO54" s="115"/>
      <c r="AP54" s="86"/>
      <c r="AQ54" s="115"/>
      <c r="AR54" s="115"/>
      <c r="AS54" s="115"/>
      <c r="AT54" s="115"/>
      <c r="AU54" s="119"/>
      <c r="AV54" s="120"/>
      <c r="AW54" s="120"/>
      <c r="AX54" s="120"/>
      <c r="AY54" s="120"/>
      <c r="AZ54" s="120"/>
      <c r="BA54" s="120"/>
      <c r="BB54" s="120"/>
      <c r="BC54" s="120"/>
      <c r="BD54" s="120"/>
      <c r="BE54" s="120"/>
      <c r="BF54" s="120"/>
      <c r="BG54" s="120"/>
      <c r="BH54" s="120"/>
      <c r="BI54" s="120"/>
      <c r="BJ54" s="121"/>
    </row>
    <row r="55" spans="2:62">
      <c r="B55" s="115"/>
      <c r="C55" s="115"/>
      <c r="D55" s="115"/>
      <c r="E55" s="115"/>
      <c r="F55" s="132"/>
      <c r="G55" s="133"/>
      <c r="H55" s="133"/>
      <c r="I55" s="133"/>
      <c r="J55" s="133"/>
      <c r="K55" s="133"/>
      <c r="L55" s="133"/>
      <c r="M55" s="133"/>
      <c r="N55" s="133"/>
      <c r="O55" s="133"/>
      <c r="P55" s="133"/>
      <c r="Q55" s="133"/>
      <c r="R55" s="134"/>
      <c r="S55" s="86"/>
      <c r="T55" s="128"/>
      <c r="U55" s="128"/>
      <c r="V55" s="128"/>
      <c r="W55" s="128"/>
      <c r="X55" s="128"/>
      <c r="Y55" s="128"/>
      <c r="Z55" s="128"/>
      <c r="AA55" s="128"/>
      <c r="AB55" s="128"/>
      <c r="AC55" s="128"/>
      <c r="AD55" s="128"/>
      <c r="AE55" s="128"/>
      <c r="AF55" s="128"/>
      <c r="AG55" s="128"/>
      <c r="AH55" s="86"/>
      <c r="AI55" s="115"/>
      <c r="AJ55" s="86"/>
      <c r="AK55" s="115"/>
      <c r="AL55" s="115"/>
      <c r="AM55" s="115"/>
      <c r="AN55" s="115"/>
      <c r="AO55" s="115"/>
      <c r="AP55" s="86"/>
      <c r="AQ55" s="115"/>
      <c r="AR55" s="115"/>
      <c r="AS55" s="115"/>
      <c r="AT55" s="115"/>
      <c r="AU55" s="122"/>
      <c r="AV55" s="123"/>
      <c r="AW55" s="123"/>
      <c r="AX55" s="123"/>
      <c r="AY55" s="123"/>
      <c r="AZ55" s="123"/>
      <c r="BA55" s="123"/>
      <c r="BB55" s="123"/>
      <c r="BC55" s="123"/>
      <c r="BD55" s="123"/>
      <c r="BE55" s="123"/>
      <c r="BF55" s="123"/>
      <c r="BG55" s="123"/>
      <c r="BH55" s="123"/>
      <c r="BI55" s="123"/>
      <c r="BJ55" s="124"/>
    </row>
    <row r="58" spans="2:62" ht="22.25" customHeight="1">
      <c r="B58" s="111" t="str">
        <f>+Sprachen!B34</f>
        <v>Beilagen:</v>
      </c>
      <c r="C58" s="111"/>
      <c r="D58" s="111"/>
      <c r="E58" s="111"/>
      <c r="F58" s="51"/>
      <c r="G58" s="112"/>
      <c r="H58" s="113"/>
      <c r="I58" s="113"/>
      <c r="J58" s="113"/>
      <c r="K58" s="113"/>
      <c r="L58" s="113"/>
      <c r="M58" s="113"/>
      <c r="N58" s="113"/>
      <c r="O58" s="113"/>
      <c r="P58" s="113"/>
      <c r="Q58" s="113"/>
      <c r="R58" s="113"/>
      <c r="S58" s="113"/>
      <c r="T58" s="113"/>
      <c r="U58" s="113"/>
      <c r="V58" s="113"/>
      <c r="W58" s="113"/>
      <c r="X58" s="113"/>
      <c r="Y58" s="113"/>
      <c r="Z58" s="113"/>
      <c r="AA58" s="113"/>
      <c r="AB58" s="114"/>
    </row>
  </sheetData>
  <sheetProtection sheet="1" objects="1" scenarios="1"/>
  <mergeCells count="264">
    <mergeCell ref="AS5:AS13"/>
    <mergeCell ref="AT5:AT13"/>
    <mergeCell ref="AI7:AI13"/>
    <mergeCell ref="AK5:AK13"/>
    <mergeCell ref="AL5:AL13"/>
    <mergeCell ref="AM5:AM13"/>
    <mergeCell ref="AN5:AN13"/>
    <mergeCell ref="AR5:AR13"/>
    <mergeCell ref="AO5:AO13"/>
    <mergeCell ref="AQ5:AQ13"/>
    <mergeCell ref="AK14:AK16"/>
    <mergeCell ref="AS14:AS16"/>
    <mergeCell ref="AT14:AT16"/>
    <mergeCell ref="B14:C16"/>
    <mergeCell ref="D14:E16"/>
    <mergeCell ref="AU14:BJ16"/>
    <mergeCell ref="F14:R14"/>
    <mergeCell ref="F15:R15"/>
    <mergeCell ref="F16:R16"/>
    <mergeCell ref="AM14:AM16"/>
    <mergeCell ref="AN14:AN16"/>
    <mergeCell ref="AO14:AO16"/>
    <mergeCell ref="AQ14:AQ16"/>
    <mergeCell ref="AR14:AR16"/>
    <mergeCell ref="AL14:AL16"/>
    <mergeCell ref="B17:C19"/>
    <mergeCell ref="D17:E19"/>
    <mergeCell ref="F17:R17"/>
    <mergeCell ref="T17:AG19"/>
    <mergeCell ref="AI17:AI19"/>
    <mergeCell ref="F18:R18"/>
    <mergeCell ref="F19:R19"/>
    <mergeCell ref="G3:J3"/>
    <mergeCell ref="G7:V7"/>
    <mergeCell ref="G9:V9"/>
    <mergeCell ref="B13:C13"/>
    <mergeCell ref="D13:E13"/>
    <mergeCell ref="T14:AG16"/>
    <mergeCell ref="AI14:AI16"/>
    <mergeCell ref="X5:AF5"/>
    <mergeCell ref="B3:E3"/>
    <mergeCell ref="AA7:AF7"/>
    <mergeCell ref="X9:Z9"/>
    <mergeCell ref="AA9:AF9"/>
    <mergeCell ref="AQ17:AQ19"/>
    <mergeCell ref="AR17:AR19"/>
    <mergeCell ref="AS17:AS19"/>
    <mergeCell ref="AT17:AT19"/>
    <mergeCell ref="AU17:BJ19"/>
    <mergeCell ref="AK17:AK19"/>
    <mergeCell ref="AL17:AL19"/>
    <mergeCell ref="AM17:AM19"/>
    <mergeCell ref="AN17:AN19"/>
    <mergeCell ref="AO17:AO19"/>
    <mergeCell ref="AS20:AS22"/>
    <mergeCell ref="AT20:AT22"/>
    <mergeCell ref="AU20:BJ22"/>
    <mergeCell ref="AK20:AK22"/>
    <mergeCell ref="AL20:AL22"/>
    <mergeCell ref="AM20:AM22"/>
    <mergeCell ref="AN20:AN22"/>
    <mergeCell ref="AO20:AO22"/>
    <mergeCell ref="B20:C22"/>
    <mergeCell ref="D20:E22"/>
    <mergeCell ref="F20:R20"/>
    <mergeCell ref="T20:AG22"/>
    <mergeCell ref="AI20:AI22"/>
    <mergeCell ref="F21:R21"/>
    <mergeCell ref="F22:R22"/>
    <mergeCell ref="B23:C25"/>
    <mergeCell ref="D23:E25"/>
    <mergeCell ref="F23:R23"/>
    <mergeCell ref="T23:AG25"/>
    <mergeCell ref="AI23:AI25"/>
    <mergeCell ref="F24:R24"/>
    <mergeCell ref="F25:R25"/>
    <mergeCell ref="AQ20:AQ22"/>
    <mergeCell ref="AR20:AR22"/>
    <mergeCell ref="AQ23:AQ25"/>
    <mergeCell ref="AR23:AR25"/>
    <mergeCell ref="AS23:AS25"/>
    <mergeCell ref="AT23:AT25"/>
    <mergeCell ref="AU23:BJ25"/>
    <mergeCell ref="AK23:AK25"/>
    <mergeCell ref="AL23:AL25"/>
    <mergeCell ref="AM23:AM25"/>
    <mergeCell ref="AN23:AN25"/>
    <mergeCell ref="AO23:AO25"/>
    <mergeCell ref="AS26:AS28"/>
    <mergeCell ref="AT26:AT28"/>
    <mergeCell ref="AU26:BJ28"/>
    <mergeCell ref="AK26:AK28"/>
    <mergeCell ref="AL26:AL28"/>
    <mergeCell ref="AM26:AM28"/>
    <mergeCell ref="AN26:AN28"/>
    <mergeCell ref="AO26:AO28"/>
    <mergeCell ref="AQ26:AQ28"/>
    <mergeCell ref="AR26:AR28"/>
    <mergeCell ref="B26:C28"/>
    <mergeCell ref="D26:E28"/>
    <mergeCell ref="F26:R26"/>
    <mergeCell ref="T26:AG28"/>
    <mergeCell ref="AI26:AI28"/>
    <mergeCell ref="F27:R27"/>
    <mergeCell ref="F28:R28"/>
    <mergeCell ref="B29:C31"/>
    <mergeCell ref="D29:E31"/>
    <mergeCell ref="F29:R29"/>
    <mergeCell ref="T29:AG31"/>
    <mergeCell ref="AI29:AI31"/>
    <mergeCell ref="F30:R30"/>
    <mergeCell ref="F31:R31"/>
    <mergeCell ref="AQ29:AQ31"/>
    <mergeCell ref="AR29:AR31"/>
    <mergeCell ref="AS29:AS31"/>
    <mergeCell ref="AT29:AT31"/>
    <mergeCell ref="AU29:BJ31"/>
    <mergeCell ref="AK29:AK31"/>
    <mergeCell ref="AL29:AL31"/>
    <mergeCell ref="AM29:AM31"/>
    <mergeCell ref="AN29:AN31"/>
    <mergeCell ref="AO29:AO31"/>
    <mergeCell ref="AS32:AS34"/>
    <mergeCell ref="AT32:AT34"/>
    <mergeCell ref="AU32:BJ34"/>
    <mergeCell ref="AK32:AK34"/>
    <mergeCell ref="AL32:AL34"/>
    <mergeCell ref="AM32:AM34"/>
    <mergeCell ref="AN32:AN34"/>
    <mergeCell ref="AO32:AO34"/>
    <mergeCell ref="B32:C34"/>
    <mergeCell ref="D32:E34"/>
    <mergeCell ref="F32:R32"/>
    <mergeCell ref="T32:AG34"/>
    <mergeCell ref="AI32:AI34"/>
    <mergeCell ref="F33:R33"/>
    <mergeCell ref="F34:R34"/>
    <mergeCell ref="B35:C37"/>
    <mergeCell ref="D35:E37"/>
    <mergeCell ref="F35:R35"/>
    <mergeCell ref="T35:AG37"/>
    <mergeCell ref="AI35:AI37"/>
    <mergeCell ref="F36:R36"/>
    <mergeCell ref="F37:R37"/>
    <mergeCell ref="AQ32:AQ34"/>
    <mergeCell ref="AR32:AR34"/>
    <mergeCell ref="AQ35:AQ37"/>
    <mergeCell ref="AR35:AR37"/>
    <mergeCell ref="AS35:AS37"/>
    <mergeCell ref="AT35:AT37"/>
    <mergeCell ref="AU35:BJ37"/>
    <mergeCell ref="AK35:AK37"/>
    <mergeCell ref="AL35:AL37"/>
    <mergeCell ref="AM35:AM37"/>
    <mergeCell ref="AN35:AN37"/>
    <mergeCell ref="AO35:AO37"/>
    <mergeCell ref="AS38:AS40"/>
    <mergeCell ref="AT38:AT40"/>
    <mergeCell ref="AU38:BJ40"/>
    <mergeCell ref="AK38:AK40"/>
    <mergeCell ref="AL38:AL40"/>
    <mergeCell ref="AM38:AM40"/>
    <mergeCell ref="AN38:AN40"/>
    <mergeCell ref="AO38:AO40"/>
    <mergeCell ref="AQ38:AQ40"/>
    <mergeCell ref="AR38:AR40"/>
    <mergeCell ref="AS41:AS43"/>
    <mergeCell ref="AT41:AT43"/>
    <mergeCell ref="AU41:BJ43"/>
    <mergeCell ref="AK41:AK43"/>
    <mergeCell ref="AL41:AL43"/>
    <mergeCell ref="AM41:AM43"/>
    <mergeCell ref="AN41:AN43"/>
    <mergeCell ref="AO41:AO43"/>
    <mergeCell ref="B38:C40"/>
    <mergeCell ref="D38:E40"/>
    <mergeCell ref="F38:R38"/>
    <mergeCell ref="T38:AG40"/>
    <mergeCell ref="AI38:AI40"/>
    <mergeCell ref="F39:R39"/>
    <mergeCell ref="F40:R40"/>
    <mergeCell ref="B41:C43"/>
    <mergeCell ref="D41:E43"/>
    <mergeCell ref="F41:R41"/>
    <mergeCell ref="T41:AG43"/>
    <mergeCell ref="AI41:AI43"/>
    <mergeCell ref="F42:R42"/>
    <mergeCell ref="F43:R43"/>
    <mergeCell ref="B44:C46"/>
    <mergeCell ref="D44:E46"/>
    <mergeCell ref="F44:R44"/>
    <mergeCell ref="T44:AG46"/>
    <mergeCell ref="AI44:AI46"/>
    <mergeCell ref="F45:R45"/>
    <mergeCell ref="F46:R46"/>
    <mergeCell ref="AQ41:AQ43"/>
    <mergeCell ref="AR41:AR43"/>
    <mergeCell ref="AQ44:AQ46"/>
    <mergeCell ref="AR44:AR46"/>
    <mergeCell ref="AS44:AS46"/>
    <mergeCell ref="AT44:AT46"/>
    <mergeCell ref="AU44:BJ46"/>
    <mergeCell ref="AK44:AK46"/>
    <mergeCell ref="AL44:AL46"/>
    <mergeCell ref="AM44:AM46"/>
    <mergeCell ref="AN44:AN46"/>
    <mergeCell ref="AO44:AO46"/>
    <mergeCell ref="AU47:BJ49"/>
    <mergeCell ref="AK47:AK49"/>
    <mergeCell ref="AL47:AL49"/>
    <mergeCell ref="AM47:AM49"/>
    <mergeCell ref="AN47:AN49"/>
    <mergeCell ref="AO47:AO49"/>
    <mergeCell ref="AU50:BJ52"/>
    <mergeCell ref="AK50:AK52"/>
    <mergeCell ref="AL50:AL52"/>
    <mergeCell ref="AM50:AM52"/>
    <mergeCell ref="AN50:AN52"/>
    <mergeCell ref="AO50:AO52"/>
    <mergeCell ref="AQ50:AQ52"/>
    <mergeCell ref="AR50:AR52"/>
    <mergeCell ref="AQ47:AQ49"/>
    <mergeCell ref="AR47:AR49"/>
    <mergeCell ref="D53:E55"/>
    <mergeCell ref="F53:R53"/>
    <mergeCell ref="T53:AG55"/>
    <mergeCell ref="AI53:AI55"/>
    <mergeCell ref="F54:R54"/>
    <mergeCell ref="F55:R55"/>
    <mergeCell ref="AS47:AS49"/>
    <mergeCell ref="AT47:AT49"/>
    <mergeCell ref="B47:C49"/>
    <mergeCell ref="D47:E49"/>
    <mergeCell ref="F47:R47"/>
    <mergeCell ref="T47:AG49"/>
    <mergeCell ref="AI47:AI49"/>
    <mergeCell ref="F48:R48"/>
    <mergeCell ref="F49:R49"/>
    <mergeCell ref="AS50:AS52"/>
    <mergeCell ref="AT50:AT52"/>
    <mergeCell ref="AU1:BI1"/>
    <mergeCell ref="AK3:AL4"/>
    <mergeCell ref="AM3:AO4"/>
    <mergeCell ref="AQ3:BJ4"/>
    <mergeCell ref="B58:E58"/>
    <mergeCell ref="G58:AB58"/>
    <mergeCell ref="AQ53:AQ55"/>
    <mergeCell ref="AR53:AR55"/>
    <mergeCell ref="AS53:AS55"/>
    <mergeCell ref="AT53:AT55"/>
    <mergeCell ref="AU53:BJ55"/>
    <mergeCell ref="AK53:AK55"/>
    <mergeCell ref="AL53:AL55"/>
    <mergeCell ref="AM53:AM55"/>
    <mergeCell ref="AN53:AN55"/>
    <mergeCell ref="AO53:AO55"/>
    <mergeCell ref="B50:C52"/>
    <mergeCell ref="D50:E52"/>
    <mergeCell ref="F50:R50"/>
    <mergeCell ref="T50:AG52"/>
    <mergeCell ref="AI50:AI52"/>
    <mergeCell ref="F51:R51"/>
    <mergeCell ref="F52:R52"/>
    <mergeCell ref="B53:C55"/>
  </mergeCells>
  <printOptions horizontalCentered="1" verticalCentered="1"/>
  <pageMargins left="0.51181102362204722" right="0.31496062992125984" top="0.23622047244094491" bottom="0.19685039370078741" header="0.31496062992125984" footer="0.31496062992125984"/>
  <pageSetup paperSize="9" scale="6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8" r:id="rId4" name="Button 10">
              <controlPr defaultSize="0" print="0" autoFill="0" autoPict="0" macro="[0]!PrintForm">
                <anchor moveWithCells="1" sizeWithCells="1">
                  <from>
                    <xdr:col>55</xdr:col>
                    <xdr:colOff>12700</xdr:colOff>
                    <xdr:row>6</xdr:row>
                    <xdr:rowOff>127000</xdr:rowOff>
                  </from>
                  <to>
                    <xdr:col>60</xdr:col>
                    <xdr:colOff>165100</xdr:colOff>
                    <xdr:row>8</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F17B49D0-7020-49EF-847F-D078BBB0AC06}">
          <x14:formula1>
            <xm:f>Dropdown!$C$5:$C$9</xm:f>
          </x14:formula1>
          <xm:sqref>G3:G4</xm:sqref>
        </x14:dataValidation>
        <x14:dataValidation type="list" allowBlank="1" showInputMessage="1" showErrorMessage="1" xr:uid="{5E776320-A7E1-4021-A88B-99271E777B16}">
          <x14:formula1>
            <xm:f>Dropdown!$E$5:$E$35</xm:f>
          </x14:formula1>
          <xm:sqref>B14:C55</xm:sqref>
        </x14:dataValidation>
        <x14:dataValidation type="list" allowBlank="1" showInputMessage="1" showErrorMessage="1" xr:uid="{D1339B51-5F85-44CE-9F81-BA5DDE129126}">
          <x14:formula1>
            <xm:f>Dropdown!$G$5:$G$17</xm:f>
          </x14:formula1>
          <xm:sqref>D14:E55</xm:sqref>
        </x14:dataValidation>
        <x14:dataValidation type="list" allowBlank="1" showInputMessage="1" showErrorMessage="1" xr:uid="{544D17B4-41B6-4CB5-8753-BFFB5767B23D}">
          <x14:formula1>
            <xm:f>Dropdown!$I$5:$I$7</xm:f>
          </x14:formula1>
          <xm:sqref>AI14:AI55 AK14:AO55 AQ14:AT55</xm:sqref>
        </x14:dataValidation>
        <x14:dataValidation type="list" allowBlank="1" showInputMessage="1" showErrorMessage="1" xr:uid="{36C1F000-2322-4A52-858A-CDABDB58329C}">
          <x14:formula1>
            <xm:f>Dropdown!$O$5:$O$16</xm:f>
          </x14:formula1>
          <xm:sqref>AA7:AF7</xm:sqref>
        </x14:dataValidation>
        <x14:dataValidation type="list" allowBlank="1" showInputMessage="1" showErrorMessage="1" xr:uid="{834649B9-0ED7-4CE7-B67B-50177036F231}">
          <x14:formula1>
            <xm:f>Dropdown!$M$5:$M$12</xm:f>
          </x14:formula1>
          <xm:sqref>AA9:AF9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04A45-919C-4FFA-A4F9-C62CE494BA18}">
  <sheetPr codeName="Tabelle2"/>
  <dimension ref="B1:R45"/>
  <sheetViews>
    <sheetView tabSelected="1" zoomScaleNormal="100" workbookViewId="0">
      <selection activeCell="B1" sqref="B1:R45"/>
    </sheetView>
  </sheetViews>
  <sheetFormatPr baseColWidth="10" defaultColWidth="11.5" defaultRowHeight="14"/>
  <cols>
    <col min="1" max="1" width="3" style="4" customWidth="1"/>
    <col min="2" max="3" width="7.33203125" style="4" customWidth="1"/>
    <col min="4" max="4" width="49.5" style="4" customWidth="1"/>
    <col min="5" max="5" width="14" style="4" customWidth="1"/>
    <col min="6" max="6" width="18.6640625" style="4" customWidth="1"/>
    <col min="7" max="12" width="5.6640625" style="4" customWidth="1"/>
    <col min="13" max="13" width="2.1640625" style="4" customWidth="1"/>
    <col min="14" max="17" width="5.6640625" style="4" customWidth="1"/>
    <col min="18" max="18" width="36" style="4" customWidth="1"/>
    <col min="19" max="16384" width="11.5" style="4"/>
  </cols>
  <sheetData>
    <row r="1" spans="2:18">
      <c r="B1" s="3" t="s">
        <v>0</v>
      </c>
      <c r="R1" s="5" t="s">
        <v>3</v>
      </c>
    </row>
    <row r="2" spans="2:18" s="7" customFormat="1" ht="12">
      <c r="B2" s="6"/>
      <c r="R2" s="8"/>
    </row>
    <row r="3" spans="2:18" s="10" customFormat="1" ht="16">
      <c r="B3" s="9" t="s">
        <v>1</v>
      </c>
      <c r="F3" s="11" t="s">
        <v>4</v>
      </c>
      <c r="G3" s="12"/>
      <c r="H3" s="12"/>
      <c r="I3" s="12"/>
      <c r="J3" s="12"/>
      <c r="K3" s="12"/>
      <c r="L3" s="12"/>
      <c r="N3" s="13" t="s">
        <v>6</v>
      </c>
    </row>
    <row r="4" spans="2:18">
      <c r="B4" s="14"/>
      <c r="F4" s="12" t="s">
        <v>5</v>
      </c>
      <c r="G4" s="15"/>
      <c r="H4" s="15"/>
      <c r="I4" s="15"/>
      <c r="J4" s="15"/>
      <c r="K4" s="15"/>
      <c r="L4" s="15"/>
    </row>
    <row r="5" spans="2:18" s="18" customFormat="1" ht="20">
      <c r="B5" s="16" t="s">
        <v>2</v>
      </c>
      <c r="C5" s="17"/>
    </row>
    <row r="7" spans="2:18" ht="15.75" customHeight="1">
      <c r="B7" s="19" t="s">
        <v>18</v>
      </c>
      <c r="C7" s="20"/>
      <c r="D7" s="20"/>
      <c r="E7" s="21"/>
      <c r="F7" s="19" t="s">
        <v>17</v>
      </c>
      <c r="G7" s="20"/>
      <c r="H7" s="20"/>
      <c r="I7" s="20"/>
      <c r="J7" s="20"/>
      <c r="K7" s="20"/>
      <c r="L7" s="21"/>
      <c r="N7" s="19" t="s">
        <v>19</v>
      </c>
      <c r="O7" s="20"/>
      <c r="P7" s="20"/>
      <c r="Q7" s="20"/>
      <c r="R7" s="21"/>
    </row>
    <row r="8" spans="2:18" ht="46" customHeight="1">
      <c r="B8" s="157" t="str">
        <f>+Form!G7&amp;" "&amp;Form!G9</f>
        <v xml:space="preserve"> </v>
      </c>
      <c r="C8" s="158"/>
      <c r="D8" s="158"/>
      <c r="E8" s="159"/>
      <c r="F8" s="157" t="str">
        <f>+(CONCATENATE(Form!G5,Form!H5,Form!I5&amp;"."&amp;Form!J5,Form!K5,Form!L5,Form!M5,Form!N5&amp;"."&amp;Form!O5,Form!P5,Form!Q5,Form!R5,Form!S5&amp;"."&amp;Form!T5,Form!U5,Form!V5))</f>
        <v>...</v>
      </c>
      <c r="G8" s="158"/>
      <c r="H8" s="158"/>
      <c r="I8" s="158"/>
      <c r="J8" s="158"/>
      <c r="K8" s="158"/>
      <c r="L8" s="159"/>
      <c r="M8" s="22"/>
      <c r="N8" s="151" t="str">
        <f>Form!AA7&amp;" "&amp;Form!AA9</f>
        <v>Juli  2025</v>
      </c>
      <c r="O8" s="152"/>
      <c r="P8" s="152"/>
      <c r="Q8" s="152"/>
      <c r="R8" s="153"/>
    </row>
    <row r="9" spans="2:18" ht="13.25" customHeight="1">
      <c r="B9" s="22"/>
      <c r="C9" s="22"/>
    </row>
    <row r="10" spans="2:18" ht="19.25" customHeight="1">
      <c r="B10" s="23" t="s">
        <v>10</v>
      </c>
      <c r="C10" s="24"/>
      <c r="D10" s="25" t="s">
        <v>11</v>
      </c>
      <c r="E10" s="23" t="s">
        <v>13</v>
      </c>
      <c r="F10" s="26"/>
      <c r="G10" s="160" t="s">
        <v>29</v>
      </c>
      <c r="H10" s="27" t="s">
        <v>9</v>
      </c>
      <c r="I10" s="28"/>
      <c r="J10" s="27" t="s">
        <v>7</v>
      </c>
      <c r="K10" s="29"/>
      <c r="L10" s="30"/>
      <c r="N10" s="27" t="s">
        <v>8</v>
      </c>
      <c r="O10" s="29"/>
      <c r="P10" s="29"/>
      <c r="Q10" s="29"/>
      <c r="R10" s="30"/>
    </row>
    <row r="11" spans="2:18" ht="19.25" customHeight="1">
      <c r="B11" s="31" t="s">
        <v>7</v>
      </c>
      <c r="C11" s="32"/>
      <c r="D11" s="33" t="s">
        <v>12</v>
      </c>
      <c r="E11" s="31"/>
      <c r="F11" s="34"/>
      <c r="G11" s="161"/>
      <c r="H11" s="35"/>
      <c r="I11" s="35"/>
      <c r="J11" s="35"/>
      <c r="K11" s="35"/>
      <c r="L11" s="35"/>
      <c r="N11" s="35"/>
      <c r="O11" s="35"/>
      <c r="P11" s="35"/>
      <c r="Q11" s="35"/>
      <c r="R11" s="35"/>
    </row>
    <row r="12" spans="2:18" ht="70.25" customHeight="1">
      <c r="B12" s="36" t="s">
        <v>14</v>
      </c>
      <c r="C12" s="37" t="s">
        <v>15</v>
      </c>
      <c r="D12" s="38"/>
      <c r="E12" s="39"/>
      <c r="F12" s="40"/>
      <c r="G12" s="162"/>
      <c r="H12" s="41" t="s">
        <v>30</v>
      </c>
      <c r="I12" s="41" t="s">
        <v>31</v>
      </c>
      <c r="J12" s="41" t="s">
        <v>32</v>
      </c>
      <c r="K12" s="41" t="s">
        <v>33</v>
      </c>
      <c r="L12" s="41" t="s">
        <v>34</v>
      </c>
      <c r="N12" s="41" t="s">
        <v>35</v>
      </c>
      <c r="O12" s="41" t="s">
        <v>36</v>
      </c>
      <c r="P12" s="41" t="s">
        <v>37</v>
      </c>
      <c r="Q12" s="41" t="s">
        <v>38</v>
      </c>
      <c r="R12" s="42" t="s">
        <v>16</v>
      </c>
    </row>
    <row r="13" spans="2:18" ht="47" customHeight="1">
      <c r="B13" s="43" t="str">
        <f>+IF(Form!B14&lt;&gt;"",Form!B14,"")</f>
        <v/>
      </c>
      <c r="C13" s="44" t="str">
        <f>+IF(Form!D14&lt;&gt;"",Form!D14,"")</f>
        <v/>
      </c>
      <c r="D13" s="45" t="str">
        <f>+Form!F14&amp;"
"&amp;Form!F15&amp;"
"&amp;Form!F16</f>
        <v xml:space="preserve">
</v>
      </c>
      <c r="E13" s="155" t="str">
        <f>+IF($B13&lt;&gt;"",Form!T14,"")</f>
        <v/>
      </c>
      <c r="F13" s="156"/>
      <c r="G13" s="46" t="str">
        <f>+IF(Form!AI14="X","X","")</f>
        <v/>
      </c>
      <c r="H13" s="46" t="str">
        <f>+IF(Form!AK14="X","X","")</f>
        <v/>
      </c>
      <c r="I13" s="46" t="str">
        <f>+IF(Form!AL14="X","X","")</f>
        <v/>
      </c>
      <c r="J13" s="46" t="str">
        <f>+IF(Form!AM14="X","X","")</f>
        <v/>
      </c>
      <c r="K13" s="46" t="str">
        <f>+IF(Form!AN14="X","X","")</f>
        <v/>
      </c>
      <c r="L13" s="46" t="str">
        <f>+IF(Form!AO14="X","X","")</f>
        <v/>
      </c>
      <c r="N13" s="46" t="str">
        <f>+IF(Form!AQ14="X","X","")</f>
        <v/>
      </c>
      <c r="O13" s="46" t="str">
        <f>+IF(Form!AR14="X","X","")</f>
        <v/>
      </c>
      <c r="P13" s="46" t="str">
        <f>+IF(Form!AS14="X","X","")</f>
        <v/>
      </c>
      <c r="Q13" s="46" t="str">
        <f>+IF(Form!AT14="X","X","")</f>
        <v/>
      </c>
      <c r="R13" s="47" t="str">
        <f>+IF($B13&lt;&gt;"",Form!AU14,"")</f>
        <v/>
      </c>
    </row>
    <row r="14" spans="2:18" ht="47" customHeight="1">
      <c r="B14" s="43" t="str">
        <f>+IF(Form!B17&lt;&gt;"",Form!B17,"")</f>
        <v/>
      </c>
      <c r="C14" s="44" t="str">
        <f>+IF(Form!D17&lt;&gt;"",Form!D17,"")</f>
        <v/>
      </c>
      <c r="D14" s="45" t="str">
        <f>+Form!F17&amp;"
"&amp;Form!F18&amp;"
"&amp;Form!F19</f>
        <v xml:space="preserve">
</v>
      </c>
      <c r="E14" s="155" t="str">
        <f>+IF($B14&lt;&gt;"",Form!T17,"")</f>
        <v/>
      </c>
      <c r="F14" s="156"/>
      <c r="G14" s="46" t="str">
        <f>+IF(Form!AI17="X","X","")</f>
        <v/>
      </c>
      <c r="H14" s="46" t="str">
        <f>+IF(Form!AK17="X","X","")</f>
        <v/>
      </c>
      <c r="I14" s="46" t="str">
        <f>+IF(Form!AL17="X","X","")</f>
        <v/>
      </c>
      <c r="J14" s="46" t="str">
        <f>+IF(Form!AM17="X","X","")</f>
        <v/>
      </c>
      <c r="K14" s="46" t="str">
        <f>+IF(Form!AN17="X","X","")</f>
        <v/>
      </c>
      <c r="L14" s="46" t="str">
        <f>+IF(Form!AO17="X","X","")</f>
        <v/>
      </c>
      <c r="N14" s="46" t="str">
        <f>+IF(Form!AQ17="X","X","")</f>
        <v/>
      </c>
      <c r="O14" s="46" t="str">
        <f>+IF(Form!AR17="X","X","")</f>
        <v/>
      </c>
      <c r="P14" s="46" t="str">
        <f>+IF(Form!AS17="X","X","")</f>
        <v/>
      </c>
      <c r="Q14" s="46" t="str">
        <f>+IF(Form!AT17="X","X","")</f>
        <v/>
      </c>
      <c r="R14" s="47" t="str">
        <f>+IF($B14&lt;&gt;"",Form!AU17,"")</f>
        <v/>
      </c>
    </row>
    <row r="15" spans="2:18" ht="47" customHeight="1">
      <c r="B15" s="43" t="str">
        <f>+IF(Form!B20&lt;&gt;"",Form!B20,"")</f>
        <v/>
      </c>
      <c r="C15" s="44" t="str">
        <f>+IF(Form!D20&lt;&gt;"",Form!D20,"")</f>
        <v/>
      </c>
      <c r="D15" s="45" t="str">
        <f>+Form!F20&amp;"
"&amp;Form!F21&amp;"
"&amp;Form!F22</f>
        <v xml:space="preserve">
</v>
      </c>
      <c r="E15" s="155" t="str">
        <f>+IF($B15&lt;&gt;"",Form!T20,"")</f>
        <v/>
      </c>
      <c r="F15" s="156"/>
      <c r="G15" s="46" t="str">
        <f>+IF(Form!AI20="X","X","")</f>
        <v/>
      </c>
      <c r="H15" s="46" t="str">
        <f>+IF(Form!AK20="X","X","")</f>
        <v/>
      </c>
      <c r="I15" s="46" t="str">
        <f>+IF(Form!AL20="X","X","")</f>
        <v/>
      </c>
      <c r="J15" s="46" t="str">
        <f>+IF(Form!AM20="X","X","")</f>
        <v/>
      </c>
      <c r="K15" s="46" t="str">
        <f>+IF(Form!AN20="X","X","")</f>
        <v/>
      </c>
      <c r="L15" s="46" t="str">
        <f>+IF(Form!AO20="X","X","")</f>
        <v/>
      </c>
      <c r="N15" s="46" t="str">
        <f>+IF(Form!AQ20="X","X","")</f>
        <v/>
      </c>
      <c r="O15" s="46" t="str">
        <f>+IF(Form!AR20="X","X","")</f>
        <v/>
      </c>
      <c r="P15" s="46" t="str">
        <f>+IF(Form!AS20="X","X","")</f>
        <v/>
      </c>
      <c r="Q15" s="46" t="str">
        <f>+IF(Form!AT20="X","X","")</f>
        <v/>
      </c>
      <c r="R15" s="47" t="str">
        <f>+IF($B15&lt;&gt;"",Form!AU20,"")</f>
        <v/>
      </c>
    </row>
    <row r="16" spans="2:18" ht="47" customHeight="1">
      <c r="B16" s="43" t="str">
        <f>+IF(Form!B23&lt;&gt;"",Form!B23,"")</f>
        <v/>
      </c>
      <c r="C16" s="44" t="str">
        <f>+IF(Form!D23&lt;&gt;"",Form!D23,"")</f>
        <v/>
      </c>
      <c r="D16" s="45" t="str">
        <f>+Form!F23&amp;"
"&amp;Form!F24&amp;"
"&amp;Form!F25</f>
        <v xml:space="preserve">
</v>
      </c>
      <c r="E16" s="155" t="str">
        <f>+IF($B16&lt;&gt;"",Form!T23,"")</f>
        <v/>
      </c>
      <c r="F16" s="156"/>
      <c r="G16" s="46" t="str">
        <f>+IF(B16&lt;&gt;"",Form!AI23,"")</f>
        <v/>
      </c>
      <c r="H16" s="46" t="str">
        <f>+IF(Form!AK23="X","X","")</f>
        <v/>
      </c>
      <c r="I16" s="46" t="str">
        <f>+IF(Form!AL23="X","X","")</f>
        <v/>
      </c>
      <c r="J16" s="46" t="str">
        <f>+IF(Form!AM23="X","X","")</f>
        <v/>
      </c>
      <c r="K16" s="46" t="str">
        <f>+IF(Form!AN23="X","X","")</f>
        <v/>
      </c>
      <c r="L16" s="46" t="str">
        <f>+IF(Form!AO23="X","X","")</f>
        <v/>
      </c>
      <c r="N16" s="46" t="str">
        <f>+IF(Form!AQ23="X","X","")</f>
        <v/>
      </c>
      <c r="O16" s="46" t="str">
        <f>+IF(Form!AR23="X","X","")</f>
        <v/>
      </c>
      <c r="P16" s="46" t="str">
        <f>+IF(Form!AS23="X","X","")</f>
        <v/>
      </c>
      <c r="Q16" s="46" t="str">
        <f>+IF(Form!AT23="X","X","")</f>
        <v/>
      </c>
      <c r="R16" s="47" t="str">
        <f>+IF($B16&lt;&gt;"",Form!AU23,"")</f>
        <v/>
      </c>
    </row>
    <row r="17" spans="2:18" ht="47" customHeight="1">
      <c r="B17" s="43" t="str">
        <f>+IF(Form!B26&lt;&gt;"",Form!B26,"")</f>
        <v/>
      </c>
      <c r="C17" s="44" t="str">
        <f>+IF(Form!D26&lt;&gt;"",Form!D26,"")</f>
        <v/>
      </c>
      <c r="D17" s="45" t="str">
        <f>+Form!F26&amp;"
"&amp;Form!F27&amp;"
"&amp;Form!F28</f>
        <v xml:space="preserve">
</v>
      </c>
      <c r="E17" s="155" t="str">
        <f>+IF($B17&lt;&gt;"",Form!T26,"")</f>
        <v/>
      </c>
      <c r="F17" s="156"/>
      <c r="G17" s="46" t="str">
        <f>+IF(B17&lt;&gt;"",Form!AI26,"")</f>
        <v/>
      </c>
      <c r="H17" s="46" t="str">
        <f>+IF(Form!AK26="X","X","")</f>
        <v/>
      </c>
      <c r="I17" s="46" t="str">
        <f>+IF(Form!AL26="X","X","")</f>
        <v/>
      </c>
      <c r="J17" s="46" t="str">
        <f>+IF(Form!AM26="X","X","")</f>
        <v/>
      </c>
      <c r="K17" s="46" t="str">
        <f>+IF(Form!AN26="X","X","")</f>
        <v/>
      </c>
      <c r="L17" s="46" t="str">
        <f>+IF(Form!AO26="X","X","")</f>
        <v/>
      </c>
      <c r="N17" s="46" t="str">
        <f>+IF(Form!AQ26="X","X","")</f>
        <v/>
      </c>
      <c r="O17" s="46" t="str">
        <f>+IF(Form!AR26="X","X","")</f>
        <v/>
      </c>
      <c r="P17" s="46" t="str">
        <f>+IF(Form!AS26="X","X","")</f>
        <v/>
      </c>
      <c r="Q17" s="46" t="str">
        <f>+IF(Form!AT26="X","X","")</f>
        <v/>
      </c>
      <c r="R17" s="47" t="str">
        <f>+IF($B17&lt;&gt;"",Form!AU26,"")</f>
        <v/>
      </c>
    </row>
    <row r="18" spans="2:18" ht="47" customHeight="1">
      <c r="B18" s="43" t="str">
        <f>+IF(Form!B29&lt;&gt;"",Form!B29,"")</f>
        <v/>
      </c>
      <c r="C18" s="44" t="str">
        <f>+IF(Form!D29&lt;&gt;"",Form!D29,"")</f>
        <v/>
      </c>
      <c r="D18" s="45" t="str">
        <f>+Form!F29&amp;"
"&amp;Form!F30&amp;"
"&amp;Form!F31</f>
        <v xml:space="preserve">
</v>
      </c>
      <c r="E18" s="155" t="str">
        <f>+IF($B18&lt;&gt;"",Form!T29,"")</f>
        <v/>
      </c>
      <c r="F18" s="156"/>
      <c r="G18" s="46" t="str">
        <f>+IF(B18&lt;&gt;"",Form!AI29,"")</f>
        <v/>
      </c>
      <c r="H18" s="46" t="str">
        <f>+IF(Form!AK29="X","X","")</f>
        <v/>
      </c>
      <c r="I18" s="46" t="str">
        <f>+IF(Form!AL29="X","X","")</f>
        <v/>
      </c>
      <c r="J18" s="46" t="str">
        <f>+IF(Form!AM29="X","X","")</f>
        <v/>
      </c>
      <c r="K18" s="46" t="str">
        <f>+IF(Form!AN29="X","X","")</f>
        <v/>
      </c>
      <c r="L18" s="46" t="str">
        <f>+IF(Form!AO29="X","X","")</f>
        <v/>
      </c>
      <c r="N18" s="46" t="str">
        <f>+IF(Form!AQ29="X","X","")</f>
        <v/>
      </c>
      <c r="O18" s="46" t="str">
        <f>+IF(Form!AR29="X","X","")</f>
        <v/>
      </c>
      <c r="P18" s="46" t="str">
        <f>+IF(Form!AS29="X","X","")</f>
        <v/>
      </c>
      <c r="Q18" s="46" t="str">
        <f>+IF(Form!AT29="X","X","")</f>
        <v/>
      </c>
      <c r="R18" s="47" t="str">
        <f>+IF($B18&lt;&gt;"",Form!AU29,"")</f>
        <v/>
      </c>
    </row>
    <row r="19" spans="2:18" ht="47" customHeight="1">
      <c r="B19" s="43" t="str">
        <f>+IF(Form!B32&lt;&gt;"",Form!B32,"")</f>
        <v/>
      </c>
      <c r="C19" s="44" t="str">
        <f>+IF(Form!D32&lt;&gt;"",Form!D32,"")</f>
        <v/>
      </c>
      <c r="D19" s="45" t="str">
        <f>+Form!F32&amp;"
"&amp;Form!F33&amp;"
"&amp;Form!F34</f>
        <v xml:space="preserve">
</v>
      </c>
      <c r="E19" s="155" t="str">
        <f>+IF($B19&lt;&gt;"",Form!T32,"")</f>
        <v/>
      </c>
      <c r="F19" s="156"/>
      <c r="G19" s="46" t="str">
        <f>+IF(B19&lt;&gt;"",Form!AI32,"")</f>
        <v/>
      </c>
      <c r="H19" s="46" t="str">
        <f>+IF(Form!AK32="X","X","")</f>
        <v/>
      </c>
      <c r="I19" s="46" t="str">
        <f>+IF(Form!AL32="X","X","")</f>
        <v/>
      </c>
      <c r="J19" s="46" t="str">
        <f>+IF(Form!AM32="X","X","")</f>
        <v/>
      </c>
      <c r="K19" s="46" t="str">
        <f>+IF(Form!AN32="X","X","")</f>
        <v/>
      </c>
      <c r="L19" s="46" t="str">
        <f>+IF(Form!AO32="X","X","")</f>
        <v/>
      </c>
      <c r="N19" s="46" t="str">
        <f>+IF(Form!AQ32="X","X","")</f>
        <v/>
      </c>
      <c r="O19" s="46" t="str">
        <f>+IF(Form!AR32="X","X","")</f>
        <v/>
      </c>
      <c r="P19" s="46" t="str">
        <f>+IF(Form!AS32="X","X","")</f>
        <v/>
      </c>
      <c r="Q19" s="46" t="str">
        <f>+IF(Form!AT32="X","X","")</f>
        <v/>
      </c>
      <c r="R19" s="47" t="str">
        <f>+IF($B19&lt;&gt;"",Form!AU32,"")</f>
        <v/>
      </c>
    </row>
    <row r="20" spans="2:18" ht="47" customHeight="1">
      <c r="B20" s="43" t="str">
        <f>+IF(Form!B35&lt;&gt;"",Form!B35,"")</f>
        <v/>
      </c>
      <c r="C20" s="44" t="str">
        <f>+IF(Form!D35&lt;&gt;"",Form!D35,"")</f>
        <v/>
      </c>
      <c r="D20" s="45" t="str">
        <f>+Form!F35&amp;"
"&amp;Form!F36&amp;"
"&amp;Form!F37</f>
        <v xml:space="preserve">
</v>
      </c>
      <c r="E20" s="155" t="str">
        <f>+IF($B20&lt;&gt;"",Form!T35,"")</f>
        <v/>
      </c>
      <c r="F20" s="156"/>
      <c r="G20" s="46" t="str">
        <f>+IF(B20&lt;&gt;"",Form!AI35,"")</f>
        <v/>
      </c>
      <c r="H20" s="46" t="str">
        <f>+IF(Form!AK35="X","X","")</f>
        <v/>
      </c>
      <c r="I20" s="46" t="str">
        <f>+IF(Form!AL35="X","X","")</f>
        <v/>
      </c>
      <c r="J20" s="46" t="str">
        <f>+IF(Form!AM35="X","X","")</f>
        <v/>
      </c>
      <c r="K20" s="46" t="str">
        <f>+IF(Form!AN35="X","X","")</f>
        <v/>
      </c>
      <c r="L20" s="46" t="str">
        <f>+IF(Form!AO35="X","X","")</f>
        <v/>
      </c>
      <c r="N20" s="46" t="str">
        <f>+IF(Form!AQ35="X","X","")</f>
        <v/>
      </c>
      <c r="O20" s="46" t="str">
        <f>+IF(Form!AR35="X","X","")</f>
        <v/>
      </c>
      <c r="P20" s="46" t="str">
        <f>+IF(Form!AS35="X","X","")</f>
        <v/>
      </c>
      <c r="Q20" s="46" t="str">
        <f>+IF(Form!AT35="X","X","")</f>
        <v/>
      </c>
      <c r="R20" s="47" t="str">
        <f>+IF($B20&lt;&gt;"",Form!AU35,"")</f>
        <v/>
      </c>
    </row>
    <row r="21" spans="2:18" ht="9.5" customHeight="1"/>
    <row r="22" spans="2:18" ht="97.25" customHeight="1">
      <c r="I22" s="48"/>
      <c r="J22" s="49"/>
      <c r="K22" s="49"/>
      <c r="L22" s="49"/>
      <c r="M22" s="49"/>
      <c r="N22" s="49"/>
      <c r="O22" s="49"/>
      <c r="P22" s="49"/>
      <c r="Q22" s="50"/>
    </row>
    <row r="24" spans="2:18" ht="18.5" customHeight="1">
      <c r="B24" s="23" t="s">
        <v>10</v>
      </c>
      <c r="C24" s="24"/>
      <c r="D24" s="25" t="s">
        <v>11</v>
      </c>
      <c r="E24" s="23" t="s">
        <v>13</v>
      </c>
      <c r="F24" s="26"/>
      <c r="G24" s="160" t="s">
        <v>29</v>
      </c>
      <c r="H24" s="27" t="s">
        <v>9</v>
      </c>
      <c r="I24" s="28"/>
      <c r="J24" s="27" t="s">
        <v>7</v>
      </c>
      <c r="K24" s="29"/>
      <c r="L24" s="30"/>
      <c r="M24" s="51"/>
      <c r="N24" s="27" t="s">
        <v>8</v>
      </c>
      <c r="O24" s="29"/>
      <c r="P24" s="29"/>
      <c r="Q24" s="29"/>
      <c r="R24" s="30"/>
    </row>
    <row r="25" spans="2:18" ht="18.5" customHeight="1">
      <c r="B25" s="31" t="s">
        <v>7</v>
      </c>
      <c r="C25" s="32"/>
      <c r="D25" s="33" t="s">
        <v>12</v>
      </c>
      <c r="E25" s="31"/>
      <c r="F25" s="34"/>
      <c r="G25" s="161"/>
      <c r="H25" s="35"/>
      <c r="I25" s="35"/>
      <c r="J25" s="35"/>
      <c r="K25" s="35"/>
      <c r="L25" s="35"/>
      <c r="N25" s="35"/>
      <c r="O25" s="35"/>
      <c r="P25" s="35"/>
      <c r="Q25" s="35"/>
      <c r="R25" s="35"/>
    </row>
    <row r="26" spans="2:18" ht="67.75" customHeight="1">
      <c r="B26" s="36" t="s">
        <v>14</v>
      </c>
      <c r="C26" s="37" t="s">
        <v>15</v>
      </c>
      <c r="D26" s="38"/>
      <c r="E26" s="39"/>
      <c r="F26" s="40"/>
      <c r="G26" s="162"/>
      <c r="H26" s="41" t="s">
        <v>30</v>
      </c>
      <c r="I26" s="41" t="s">
        <v>31</v>
      </c>
      <c r="J26" s="41" t="s">
        <v>32</v>
      </c>
      <c r="K26" s="41" t="s">
        <v>33</v>
      </c>
      <c r="L26" s="41" t="s">
        <v>34</v>
      </c>
      <c r="M26" s="41"/>
      <c r="N26" s="41" t="s">
        <v>35</v>
      </c>
      <c r="O26" s="41" t="s">
        <v>36</v>
      </c>
      <c r="P26" s="41" t="s">
        <v>37</v>
      </c>
      <c r="Q26" s="41" t="s">
        <v>38</v>
      </c>
      <c r="R26" s="42" t="s">
        <v>16</v>
      </c>
    </row>
    <row r="27" spans="2:18" ht="47" customHeight="1">
      <c r="B27" s="43" t="str">
        <f>+IF(Form!B38&lt;&gt;"",Form!B38,"")</f>
        <v/>
      </c>
      <c r="C27" s="44" t="str">
        <f>+IF(Form!D38&lt;&gt;"",Form!D38,"")</f>
        <v/>
      </c>
      <c r="D27" s="45" t="str">
        <f>+Form!F38&amp;"
"&amp;Form!F39&amp;"
"&amp;Form!F40</f>
        <v xml:space="preserve">
</v>
      </c>
      <c r="E27" s="155" t="str">
        <f>+IF($B27&lt;&gt;"",Form!T38,"")</f>
        <v/>
      </c>
      <c r="F27" s="156"/>
      <c r="G27" s="46" t="str">
        <f>+IF(Form!AI38="X","X","")</f>
        <v/>
      </c>
      <c r="H27" s="46" t="str">
        <f>+IF(Form!AK38="X","X","")</f>
        <v/>
      </c>
      <c r="I27" s="46" t="str">
        <f>+IF(Form!AL38="X","X","")</f>
        <v/>
      </c>
      <c r="J27" s="46" t="str">
        <f>+IF(Form!AM38="X","X","")</f>
        <v/>
      </c>
      <c r="K27" s="46" t="str">
        <f>+IF(Form!AN38="X","X","")</f>
        <v/>
      </c>
      <c r="L27" s="46" t="str">
        <f>+IF(Form!AO38="X","X","")</f>
        <v/>
      </c>
      <c r="M27" s="52"/>
      <c r="N27" s="46" t="str">
        <f>+IF(Form!AQ38="X","X","")</f>
        <v/>
      </c>
      <c r="O27" s="46" t="str">
        <f>+IF(Form!AR38="X","X","")</f>
        <v/>
      </c>
      <c r="P27" s="46" t="str">
        <f>+IF(Form!AS38="X","X","")</f>
        <v/>
      </c>
      <c r="Q27" s="46" t="str">
        <f>+IF(Form!AT38="X","X","")</f>
        <v/>
      </c>
      <c r="R27" s="47" t="str">
        <f>+IF($B27&lt;&gt;"",Form!AU38,"")</f>
        <v/>
      </c>
    </row>
    <row r="28" spans="2:18" ht="47" customHeight="1">
      <c r="B28" s="43" t="str">
        <f>+IF(Form!B41&lt;&gt;"",Form!B41,"")</f>
        <v/>
      </c>
      <c r="C28" s="44" t="str">
        <f>+IF(Form!D41&lt;&gt;"",Form!D41,"")</f>
        <v/>
      </c>
      <c r="D28" s="45" t="str">
        <f>+Form!F41&amp;"
"&amp;Form!F42&amp;"
"&amp;Form!F43</f>
        <v xml:space="preserve">
</v>
      </c>
      <c r="E28" s="155" t="str">
        <f>+IF($B28&lt;&gt;"",Form!T41,"")</f>
        <v/>
      </c>
      <c r="F28" s="156"/>
      <c r="G28" s="46" t="str">
        <f>+IF(Form!AI41="X","X","")</f>
        <v/>
      </c>
      <c r="H28" s="46" t="str">
        <f>+IF(Form!AK41="X","X","")</f>
        <v/>
      </c>
      <c r="I28" s="53" t="str">
        <f>+IF(Form!AL41="X","X","")</f>
        <v/>
      </c>
      <c r="J28" s="53" t="str">
        <f>+IF(Form!AM41="X","X","")</f>
        <v/>
      </c>
      <c r="K28" s="53" t="str">
        <f>+IF(Form!AN41="X","X","")</f>
        <v/>
      </c>
      <c r="L28" s="53" t="str">
        <f>+IF(Form!AO41="X","X","")</f>
        <v/>
      </c>
      <c r="M28" s="52" t="str">
        <f>+IF(Form!AP41="X","X","")</f>
        <v/>
      </c>
      <c r="N28" s="53" t="str">
        <f>+IF(Form!AQ41="X","X","")</f>
        <v/>
      </c>
      <c r="O28" s="53" t="str">
        <f>+IF(Form!AR41="X","X","")</f>
        <v/>
      </c>
      <c r="P28" s="53" t="str">
        <f>+IF(Form!AS41="X","X","")</f>
        <v/>
      </c>
      <c r="Q28" s="53" t="str">
        <f>+IF(Form!AT41="X","X","")</f>
        <v/>
      </c>
      <c r="R28" s="47" t="str">
        <f>+IF($B28&lt;&gt;"",Form!AU41,"")</f>
        <v/>
      </c>
    </row>
    <row r="29" spans="2:18" ht="47" customHeight="1">
      <c r="B29" s="43" t="str">
        <f>+IF(Form!B44&lt;&gt;"",Form!B44,"")</f>
        <v/>
      </c>
      <c r="C29" s="44" t="str">
        <f>+IF(Form!D44&lt;&gt;"",Form!D44,"")</f>
        <v/>
      </c>
      <c r="D29" s="45" t="str">
        <f>+Form!F44&amp;"
"&amp;Form!F45&amp;"
"&amp;Form!F46</f>
        <v xml:space="preserve">
</v>
      </c>
      <c r="E29" s="155" t="str">
        <f>+IF($B29&lt;&gt;"",Form!T44,"")</f>
        <v/>
      </c>
      <c r="F29" s="156"/>
      <c r="G29" s="46" t="str">
        <f>+IF(Form!AI44="X","X","")</f>
        <v/>
      </c>
      <c r="H29" s="46" t="str">
        <f>+IF(Form!AK44="X","X","")</f>
        <v/>
      </c>
      <c r="I29" s="53" t="str">
        <f>+IF(Form!AL44="X","X","")</f>
        <v/>
      </c>
      <c r="J29" s="53" t="str">
        <f>+IF(Form!AM44="X","X","")</f>
        <v/>
      </c>
      <c r="K29" s="53" t="str">
        <f>+IF(Form!AN44="X","X","")</f>
        <v/>
      </c>
      <c r="L29" s="53" t="str">
        <f>+IF(Form!AO44="X","X","")</f>
        <v/>
      </c>
      <c r="M29" s="52" t="str">
        <f>+IF(Form!AP44="X","X","")</f>
        <v/>
      </c>
      <c r="N29" s="53" t="str">
        <f>+IF(Form!AQ44="X","X","")</f>
        <v/>
      </c>
      <c r="O29" s="53" t="str">
        <f>+IF(Form!AR44="X","X","")</f>
        <v/>
      </c>
      <c r="P29" s="53" t="str">
        <f>+IF(Form!AS44="X","X","")</f>
        <v/>
      </c>
      <c r="Q29" s="53" t="str">
        <f>+IF(Form!AT44="X","X","")</f>
        <v/>
      </c>
      <c r="R29" s="47" t="str">
        <f>+IF($B29&lt;&gt;"",Form!AU44,"")</f>
        <v/>
      </c>
    </row>
    <row r="30" spans="2:18" ht="47" customHeight="1">
      <c r="B30" s="43" t="str">
        <f>+IF(Form!B47&lt;&gt;"",Form!B47,"")</f>
        <v/>
      </c>
      <c r="C30" s="44" t="str">
        <f>+IF(Form!D47&lt;&gt;"",Form!D47,"")</f>
        <v/>
      </c>
      <c r="D30" s="45" t="str">
        <f>+Form!F47&amp;"
"&amp;Form!F48&amp;"
"&amp;Form!F49</f>
        <v xml:space="preserve">
</v>
      </c>
      <c r="E30" s="155" t="str">
        <f>+IF($B30&lt;&gt;"",Form!T47,"")</f>
        <v/>
      </c>
      <c r="F30" s="156"/>
      <c r="G30" s="46" t="str">
        <f>+IF(Form!AI47="X","X","")</f>
        <v/>
      </c>
      <c r="H30" s="46" t="str">
        <f>+IF(Form!AK47="X","X","")</f>
        <v/>
      </c>
      <c r="I30" s="53" t="str">
        <f>+IF(Form!AL47="X","X","")</f>
        <v/>
      </c>
      <c r="J30" s="53" t="str">
        <f>+IF(Form!AM47="X","X","")</f>
        <v/>
      </c>
      <c r="K30" s="53" t="str">
        <f>+IF(Form!AN47="X","X","")</f>
        <v/>
      </c>
      <c r="L30" s="53" t="str">
        <f>+IF(Form!AO47="X","X","")</f>
        <v/>
      </c>
      <c r="M30" s="52" t="str">
        <f>+IF(Form!AP47="X","X","")</f>
        <v/>
      </c>
      <c r="N30" s="53" t="str">
        <f>+IF(Form!AQ47="X","X","")</f>
        <v/>
      </c>
      <c r="O30" s="53" t="str">
        <f>+IF(Form!AR47="X","X","")</f>
        <v/>
      </c>
      <c r="P30" s="53" t="str">
        <f>+IF(Form!AS47="X","X","")</f>
        <v/>
      </c>
      <c r="Q30" s="53" t="str">
        <f>+IF(Form!AT47="X","X","")</f>
        <v/>
      </c>
      <c r="R30" s="47" t="str">
        <f>+IF($B30&lt;&gt;"",Form!AU47,"")</f>
        <v/>
      </c>
    </row>
    <row r="31" spans="2:18" ht="47" customHeight="1">
      <c r="B31" s="43" t="str">
        <f>+IF(Form!B50&lt;&gt;"",Form!B50,"")</f>
        <v/>
      </c>
      <c r="C31" s="44" t="str">
        <f>+IF(Form!D50&lt;&gt;"",Form!D50,"")</f>
        <v/>
      </c>
      <c r="D31" s="45" t="str">
        <f>+Form!F50&amp;"
"&amp;Form!F51&amp;"
"&amp;Form!F52</f>
        <v xml:space="preserve">
</v>
      </c>
      <c r="E31" s="155" t="str">
        <f>+IF($B31&lt;&gt;"",Form!T50,"")</f>
        <v/>
      </c>
      <c r="F31" s="156"/>
      <c r="G31" s="46" t="str">
        <f>+IF(Form!AI50="X","X","")</f>
        <v/>
      </c>
      <c r="H31" s="46" t="str">
        <f>+IF(Form!AK50="X","X","")</f>
        <v/>
      </c>
      <c r="I31" s="53" t="str">
        <f>+IF(Form!AL50="X","X","")</f>
        <v/>
      </c>
      <c r="J31" s="53" t="str">
        <f>+IF(Form!AM50="X","X","")</f>
        <v/>
      </c>
      <c r="K31" s="53" t="str">
        <f>+IF(Form!AN50="X","X","")</f>
        <v/>
      </c>
      <c r="L31" s="53" t="str">
        <f>+IF(Form!AO50="X","X","")</f>
        <v/>
      </c>
      <c r="M31" s="52" t="str">
        <f>+IF(Form!AP50="X","X","")</f>
        <v/>
      </c>
      <c r="N31" s="53" t="str">
        <f>+IF(Form!AQ50="X","X","")</f>
        <v/>
      </c>
      <c r="O31" s="53" t="str">
        <f>+IF(Form!AR50="X","X","")</f>
        <v/>
      </c>
      <c r="P31" s="53" t="str">
        <f>+IF(Form!AS50="X","X","")</f>
        <v/>
      </c>
      <c r="Q31" s="53" t="str">
        <f>+IF(Form!AT50="X","X","")</f>
        <v/>
      </c>
      <c r="R31" s="47" t="str">
        <f>+IF($B31&lt;&gt;"",Form!AU50,"")</f>
        <v/>
      </c>
    </row>
    <row r="32" spans="2:18" ht="47" customHeight="1">
      <c r="B32" s="43" t="str">
        <f>+IF(Form!B53&lt;&gt;"",Form!B53,"")</f>
        <v/>
      </c>
      <c r="C32" s="44" t="str">
        <f>+IF(Form!D53&lt;&gt;"",Form!D53,"")</f>
        <v/>
      </c>
      <c r="D32" s="45" t="str">
        <f>+Form!F53&amp;"
"&amp;Form!F54&amp;"
"&amp;Form!F55</f>
        <v xml:space="preserve">
</v>
      </c>
      <c r="E32" s="155" t="str">
        <f>+IF($B32&lt;&gt;"",Form!T53,"")</f>
        <v/>
      </c>
      <c r="F32" s="156"/>
      <c r="G32" s="46" t="str">
        <f>+IF(Form!AI53="X","X","")</f>
        <v/>
      </c>
      <c r="H32" s="46" t="str">
        <f>+IF(Form!AK53="X","X","")</f>
        <v/>
      </c>
      <c r="I32" s="53" t="str">
        <f>+IF(Form!AL53="X","X","")</f>
        <v/>
      </c>
      <c r="J32" s="53" t="str">
        <f>+IF(Form!AM53="X","X","")</f>
        <v/>
      </c>
      <c r="K32" s="53" t="str">
        <f>+IF(Form!AN53="X","X","")</f>
        <v/>
      </c>
      <c r="L32" s="53" t="str">
        <f>+IF(Form!AO53="X","X","")</f>
        <v/>
      </c>
      <c r="M32" s="52" t="str">
        <f>+IF(Form!AP53="X","X","")</f>
        <v/>
      </c>
      <c r="N32" s="53" t="str">
        <f>+IF(Form!AQ53="X","X","")</f>
        <v/>
      </c>
      <c r="O32" s="53" t="str">
        <f>+IF(Form!AR53="X","X","")</f>
        <v/>
      </c>
      <c r="P32" s="53" t="str">
        <f>+IF(Form!AS53="X","X","")</f>
        <v/>
      </c>
      <c r="Q32" s="53" t="str">
        <f>+IF(Form!AT53="X","X","")</f>
        <v/>
      </c>
      <c r="R32" s="47" t="str">
        <f>+IF($B32&lt;&gt;"",Form!AU53,"")</f>
        <v/>
      </c>
    </row>
    <row r="34" spans="2:18">
      <c r="B34" s="4" t="s">
        <v>21</v>
      </c>
      <c r="D34" s="54">
        <f ca="1">+TODAY()</f>
        <v>46119</v>
      </c>
      <c r="E34" s="55"/>
      <c r="F34" s="55"/>
      <c r="K34" s="4" t="s">
        <v>22</v>
      </c>
    </row>
    <row r="36" spans="2:18">
      <c r="B36" s="4" t="s">
        <v>20</v>
      </c>
      <c r="D36" s="163">
        <f>+Form!G58</f>
        <v>0</v>
      </c>
      <c r="E36" s="163"/>
      <c r="F36" s="163"/>
      <c r="K36" s="56"/>
      <c r="L36" s="56"/>
      <c r="M36" s="56"/>
      <c r="N36" s="56"/>
      <c r="O36" s="56"/>
      <c r="P36" s="56"/>
      <c r="Q36" s="56"/>
      <c r="R36" s="56"/>
    </row>
    <row r="37" spans="2:18">
      <c r="K37" s="57" t="str">
        <f>+B8</f>
        <v xml:space="preserve"> </v>
      </c>
      <c r="L37" s="57"/>
      <c r="M37" s="57"/>
      <c r="N37" s="57"/>
      <c r="O37" s="57"/>
      <c r="P37" s="57"/>
      <c r="Q37" s="57"/>
      <c r="R37" s="57"/>
    </row>
    <row r="39" spans="2:18">
      <c r="B39" s="22" t="s">
        <v>23</v>
      </c>
    </row>
    <row r="40" spans="2:18" s="51" customFormat="1" ht="36.5" customHeight="1">
      <c r="B40" s="154" t="s">
        <v>39</v>
      </c>
      <c r="C40" s="154"/>
      <c r="D40" s="154"/>
      <c r="E40" s="154"/>
      <c r="F40" s="154"/>
      <c r="G40" s="154"/>
      <c r="H40" s="154"/>
      <c r="I40" s="154"/>
      <c r="J40" s="154"/>
      <c r="K40" s="154"/>
      <c r="L40" s="154"/>
      <c r="M40" s="154"/>
      <c r="N40" s="154"/>
      <c r="O40" s="154"/>
      <c r="P40" s="154"/>
      <c r="Q40" s="154"/>
      <c r="R40" s="154"/>
    </row>
    <row r="41" spans="2:18" s="51" customFormat="1" ht="23.5" customHeight="1">
      <c r="B41" s="154" t="s">
        <v>27</v>
      </c>
      <c r="C41" s="154"/>
      <c r="D41" s="154"/>
      <c r="E41" s="154"/>
      <c r="F41" s="154"/>
      <c r="G41" s="154"/>
      <c r="H41" s="154"/>
      <c r="I41" s="154"/>
      <c r="J41" s="154"/>
      <c r="K41" s="154"/>
      <c r="L41" s="154"/>
      <c r="M41" s="154"/>
      <c r="N41" s="154"/>
      <c r="O41" s="154"/>
      <c r="P41" s="154"/>
      <c r="Q41" s="154"/>
      <c r="R41" s="154"/>
    </row>
    <row r="42" spans="2:18" s="51" customFormat="1" ht="53.5" customHeight="1">
      <c r="B42" s="154" t="s">
        <v>24</v>
      </c>
      <c r="C42" s="154"/>
      <c r="D42" s="154"/>
      <c r="E42" s="154"/>
      <c r="F42" s="154"/>
      <c r="G42" s="154"/>
      <c r="H42" s="154"/>
      <c r="I42" s="154"/>
      <c r="J42" s="154"/>
      <c r="K42" s="154"/>
      <c r="L42" s="154"/>
      <c r="M42" s="154"/>
      <c r="N42" s="154"/>
      <c r="O42" s="154"/>
      <c r="P42" s="154"/>
      <c r="Q42" s="154"/>
      <c r="R42" s="154"/>
    </row>
    <row r="43" spans="2:18" s="51" customFormat="1" ht="23.5" customHeight="1">
      <c r="B43" s="154" t="s">
        <v>25</v>
      </c>
      <c r="C43" s="154"/>
      <c r="D43" s="154"/>
      <c r="E43" s="154"/>
      <c r="F43" s="154"/>
      <c r="G43" s="154"/>
      <c r="H43" s="154"/>
      <c r="I43" s="154"/>
      <c r="J43" s="154"/>
      <c r="K43" s="154"/>
      <c r="L43" s="154"/>
      <c r="M43" s="154"/>
      <c r="N43" s="154"/>
      <c r="O43" s="154"/>
      <c r="P43" s="154"/>
      <c r="Q43" s="154"/>
      <c r="R43" s="154"/>
    </row>
    <row r="44" spans="2:18" s="51" customFormat="1" ht="36.5" customHeight="1">
      <c r="B44" s="154" t="s">
        <v>40</v>
      </c>
      <c r="C44" s="154"/>
      <c r="D44" s="154"/>
      <c r="E44" s="154"/>
      <c r="F44" s="154"/>
      <c r="G44" s="154"/>
      <c r="H44" s="154"/>
      <c r="I44" s="154"/>
      <c r="J44" s="154"/>
      <c r="K44" s="154"/>
      <c r="L44" s="154"/>
      <c r="M44" s="154"/>
      <c r="N44" s="154"/>
      <c r="O44" s="154"/>
      <c r="P44" s="154"/>
      <c r="Q44" s="154"/>
      <c r="R44" s="154"/>
    </row>
    <row r="45" spans="2:18" s="51" customFormat="1" ht="23.5" customHeight="1">
      <c r="B45" s="154" t="s">
        <v>26</v>
      </c>
      <c r="C45" s="154"/>
      <c r="D45" s="154"/>
      <c r="E45" s="154"/>
      <c r="F45" s="154"/>
      <c r="G45" s="154"/>
      <c r="H45" s="154"/>
      <c r="I45" s="154"/>
      <c r="J45" s="154"/>
      <c r="K45" s="154"/>
      <c r="L45" s="154"/>
      <c r="M45" s="154"/>
      <c r="N45" s="154"/>
      <c r="O45" s="154"/>
      <c r="P45" s="154"/>
      <c r="Q45" s="154"/>
      <c r="R45" s="154"/>
    </row>
  </sheetData>
  <sheetProtection sheet="1" objects="1" scenarios="1"/>
  <mergeCells count="26">
    <mergeCell ref="B45:R45"/>
    <mergeCell ref="G10:G12"/>
    <mergeCell ref="E13:F13"/>
    <mergeCell ref="G24:G26"/>
    <mergeCell ref="E14:F14"/>
    <mergeCell ref="E15:F15"/>
    <mergeCell ref="E16:F16"/>
    <mergeCell ref="E17:F17"/>
    <mergeCell ref="E18:F18"/>
    <mergeCell ref="E19:F19"/>
    <mergeCell ref="B44:R44"/>
    <mergeCell ref="E30:F30"/>
    <mergeCell ref="E31:F31"/>
    <mergeCell ref="E32:F32"/>
    <mergeCell ref="D36:F36"/>
    <mergeCell ref="N8:R8"/>
    <mergeCell ref="B40:R40"/>
    <mergeCell ref="B41:R41"/>
    <mergeCell ref="B42:R42"/>
    <mergeCell ref="B43:R43"/>
    <mergeCell ref="E20:F20"/>
    <mergeCell ref="E27:F27"/>
    <mergeCell ref="E28:F28"/>
    <mergeCell ref="E29:F29"/>
    <mergeCell ref="B8:E8"/>
    <mergeCell ref="F8:L8"/>
  </mergeCells>
  <phoneticPr fontId="10" type="noConversion"/>
  <dataValidations count="4">
    <dataValidation type="textLength" allowBlank="1" showInputMessage="1" showErrorMessage="1" sqref="E13:F20 E27:F32" xr:uid="{07EFA6EF-62B7-44F9-8ABA-EFF6A297A797}">
      <formula1>0</formula1>
      <formula2>100</formula2>
    </dataValidation>
    <dataValidation type="textLength" allowBlank="1" showInputMessage="1" showErrorMessage="1" sqref="D13:D20 D27:D32" xr:uid="{1E494A11-9DAE-4B0B-A2FE-FDC552B006E6}">
      <formula1>0</formula1>
      <formula2>140</formula2>
    </dataValidation>
    <dataValidation type="textLength" allowBlank="1" showInputMessage="1" showErrorMessage="1" sqref="D36:F36" xr:uid="{5D1DF13B-0213-4623-BEED-2791E8A1C2F4}">
      <formula1>0</formula1>
      <formula2>85</formula2>
    </dataValidation>
    <dataValidation type="list" allowBlank="1" showInputMessage="1" showErrorMessage="1" sqref="N28:Q32 I28:L32" xr:uid="{20B95FB5-9907-4D89-A72F-2A464AB066E0}">
      <formula1>"--,X"</formula1>
    </dataValidation>
  </dataValidations>
  <printOptions horizontalCentered="1" verticalCentered="1"/>
  <pageMargins left="0.51181102362204722" right="0.31496062992125984" top="0.23622047244094491" bottom="0.19685039370078741" header="0.31496062992125984" footer="0.31496062992125984"/>
  <pageSetup paperSize="9" scale="72" fitToHeight="2" orientation="landscape" r:id="rId1"/>
  <rowBreaks count="1" manualBreakCount="1">
    <brk id="22" min="1" max="1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F93A2-1E2A-4646-9AD5-785FD9733EE9}">
  <sheetPr codeName="Tabelle3"/>
  <dimension ref="A1:AH47"/>
  <sheetViews>
    <sheetView workbookViewId="0">
      <selection activeCell="C11" sqref="C11"/>
    </sheetView>
  </sheetViews>
  <sheetFormatPr baseColWidth="10" defaultColWidth="11.5" defaultRowHeight="17.25" customHeight="1"/>
  <cols>
    <col min="1" max="1" width="11.5" style="98"/>
    <col min="2" max="2" width="51.5" style="98" bestFit="1" customWidth="1"/>
    <col min="3" max="3" width="55" style="98" bestFit="1" customWidth="1"/>
    <col min="4" max="4" width="51.5" style="98" bestFit="1" customWidth="1"/>
    <col min="5" max="5" width="54.33203125" style="98" bestFit="1" customWidth="1"/>
    <col min="6" max="6" width="57" style="98" bestFit="1" customWidth="1"/>
    <col min="7" max="16384" width="11.5" style="98"/>
  </cols>
  <sheetData>
    <row r="1" spans="1:34" s="90" customFormat="1" ht="31">
      <c r="A1" s="58"/>
      <c r="B1" s="58" t="s">
        <v>202</v>
      </c>
      <c r="C1" s="59"/>
      <c r="D1" s="58"/>
      <c r="E1" s="59"/>
      <c r="F1" s="58"/>
      <c r="G1" s="59"/>
      <c r="H1" s="58"/>
      <c r="I1" s="59"/>
      <c r="J1" s="58"/>
      <c r="K1" s="59"/>
      <c r="L1" s="58"/>
      <c r="M1" s="59"/>
      <c r="N1" s="58"/>
      <c r="O1" s="59"/>
      <c r="P1" s="59"/>
      <c r="Q1" s="97"/>
      <c r="R1" s="97"/>
      <c r="S1" s="97"/>
      <c r="T1" s="97"/>
      <c r="U1" s="97"/>
      <c r="V1" s="97"/>
      <c r="W1" s="97"/>
      <c r="X1" s="97"/>
      <c r="Y1" s="97"/>
      <c r="Z1" s="97"/>
      <c r="AA1" s="97"/>
      <c r="AB1" s="97"/>
      <c r="AC1" s="97"/>
      <c r="AD1" s="97"/>
      <c r="AE1" s="97"/>
      <c r="AF1" s="97"/>
      <c r="AG1" s="97"/>
      <c r="AH1" s="97"/>
    </row>
    <row r="3" spans="1:34" ht="17.25" customHeight="1">
      <c r="B3" s="87" t="s">
        <v>47</v>
      </c>
      <c r="C3" s="87" t="s">
        <v>44</v>
      </c>
      <c r="D3" s="87" t="s">
        <v>48</v>
      </c>
      <c r="E3" s="87" t="s">
        <v>65</v>
      </c>
      <c r="F3" s="87" t="s">
        <v>66</v>
      </c>
    </row>
    <row r="4" spans="1:34" ht="17.25" customHeight="1">
      <c r="B4" s="1" t="str">
        <f>IF(Form!$G$3="Deutsch",C4,IF(Form!$G$3="English",D4,IF(Form!$G$3="Français",E4,IF(Form!$G$3="Italiano",F4,""))))</f>
        <v>Sprache</v>
      </c>
      <c r="C4" s="88" t="s">
        <v>74</v>
      </c>
      <c r="D4" s="88" t="s">
        <v>42</v>
      </c>
      <c r="E4" s="88" t="s">
        <v>115</v>
      </c>
      <c r="F4" s="88" t="s">
        <v>116</v>
      </c>
    </row>
    <row r="5" spans="1:34" ht="17.25" customHeight="1">
      <c r="B5" s="1" t="str">
        <f>IF(Form!$G$3="Deutsch",C5,IF(Form!$G$3="English",D5,IF(Form!$G$3="Français",E5,IF(Form!$G$3="Italiano",F5,""))))</f>
        <v>AHV Nummer</v>
      </c>
      <c r="C5" s="88" t="s">
        <v>54</v>
      </c>
      <c r="D5" s="88" t="s">
        <v>55</v>
      </c>
      <c r="E5" s="88" t="s">
        <v>117</v>
      </c>
      <c r="F5" s="88" t="s">
        <v>118</v>
      </c>
    </row>
    <row r="6" spans="1:34" ht="17.25" customHeight="1">
      <c r="B6" s="1" t="str">
        <f>IF(Form!$G$3="Deutsch",C6,IF(Form!$G$3="English",D6,IF(Form!$G$3="Français",E6,IF(Form!$G$3="Italiano",F6,""))))</f>
        <v>(bitte auswählen)</v>
      </c>
      <c r="C6" s="99" t="s">
        <v>75</v>
      </c>
      <c r="D6" s="88" t="s">
        <v>76</v>
      </c>
      <c r="E6" s="99" t="s">
        <v>119</v>
      </c>
      <c r="F6" s="99" t="s">
        <v>120</v>
      </c>
    </row>
    <row r="7" spans="1:34" ht="17.25" customHeight="1">
      <c r="B7" s="1" t="str">
        <f>IF(Form!$G$3="Deutsch",C7,IF(Form!$G$3="English",D7,IF(Form!$G$3="Français",E7,IF(Form!$G$3="Italiano",F7,""))))</f>
        <v>Name</v>
      </c>
      <c r="C7" s="88" t="s">
        <v>49</v>
      </c>
      <c r="D7" s="88" t="s">
        <v>49</v>
      </c>
      <c r="E7" s="88" t="s">
        <v>121</v>
      </c>
      <c r="F7" s="88" t="s">
        <v>122</v>
      </c>
    </row>
    <row r="8" spans="1:34" ht="17.25" customHeight="1">
      <c r="B8" s="1" t="str">
        <f>IF(Form!$G$3="Deutsch",C8,IF(Form!$G$3="English",D8,IF(Form!$G$3="Français",E8,IF(Form!$G$3="Italiano",F8,""))))</f>
        <v>Vorname</v>
      </c>
      <c r="C8" s="88" t="s">
        <v>50</v>
      </c>
      <c r="D8" s="88" t="s">
        <v>56</v>
      </c>
      <c r="E8" s="88" t="s">
        <v>123</v>
      </c>
      <c r="F8" s="88" t="s">
        <v>124</v>
      </c>
    </row>
    <row r="9" spans="1:34" ht="17.25" customHeight="1">
      <c r="B9" s="1" t="str">
        <f>IF(Form!$G$3="Deutsch",C9,IF(Form!$G$3="English",D9,IF(Form!$G$3="Français",E9,IF(Form!$G$3="Italiano",F9,""))))</f>
        <v>Datum der</v>
      </c>
      <c r="C9" s="88" t="s">
        <v>10</v>
      </c>
      <c r="D9" s="88" t="s">
        <v>57</v>
      </c>
      <c r="E9" s="88" t="s">
        <v>125</v>
      </c>
      <c r="F9" s="88" t="s">
        <v>126</v>
      </c>
    </row>
    <row r="10" spans="1:34" ht="17.25" customHeight="1">
      <c r="B10" s="1" t="str">
        <f>IF(Form!$G$3="Deutsch",C10,IF(Form!$G$3="English",D10,IF(Form!$G$3="Français",E10,IF(Form!$G$3="Italiano",F10,""))))</f>
        <v>Bewerbung</v>
      </c>
      <c r="C10" s="88" t="s">
        <v>7</v>
      </c>
      <c r="D10" s="88" t="s">
        <v>58</v>
      </c>
      <c r="E10" s="88" t="s">
        <v>127</v>
      </c>
      <c r="F10" s="88" t="s">
        <v>128</v>
      </c>
    </row>
    <row r="11" spans="1:34" ht="17.25" customHeight="1">
      <c r="B11" s="1" t="str">
        <f>IF(Form!$G$3="Deutsch",C11,IF(Form!$G$3="English",D11,IF(Form!$G$3="Français",E11,IF(Form!$G$3="Italiano",F11,""))))</f>
        <v>Tag</v>
      </c>
      <c r="C11" s="88" t="s">
        <v>14</v>
      </c>
      <c r="D11" s="88" t="s">
        <v>69</v>
      </c>
      <c r="E11" s="88" t="s">
        <v>129</v>
      </c>
      <c r="F11" s="88" t="s">
        <v>130</v>
      </c>
    </row>
    <row r="12" spans="1:34" ht="17.25" customHeight="1">
      <c r="B12" s="1" t="str">
        <f>IF(Form!$G$3="Deutsch",C12,IF(Form!$G$3="English",D12,IF(Form!$G$3="Français",E12,IF(Form!$G$3="Italiano",F12,""))))</f>
        <v>Monat</v>
      </c>
      <c r="C12" s="88" t="s">
        <v>15</v>
      </c>
      <c r="D12" s="88" t="s">
        <v>59</v>
      </c>
      <c r="E12" s="88" t="s">
        <v>131</v>
      </c>
      <c r="F12" s="88" t="s">
        <v>132</v>
      </c>
    </row>
    <row r="13" spans="1:34" ht="17.25" customHeight="1">
      <c r="B13" s="1" t="str">
        <f>IF(Form!$G$3="Deutsch",C13,IF(Form!$G$3="English",D13,IF(Form!$G$3="Français",E13,IF(Form!$G$3="Italiano",F13,""))))</f>
        <v>Firma</v>
      </c>
      <c r="C13" s="88" t="s">
        <v>51</v>
      </c>
      <c r="D13" s="88" t="s">
        <v>60</v>
      </c>
      <c r="E13" s="88" t="s">
        <v>133</v>
      </c>
      <c r="F13" s="88" t="s">
        <v>134</v>
      </c>
    </row>
    <row r="14" spans="1:34" ht="17.25" customHeight="1">
      <c r="B14" s="1" t="str">
        <f>IF(Form!$G$3="Deutsch",C14,IF(Form!$G$3="English",D14,IF(Form!$G$3="Français",E14,IF(Form!$G$3="Italiano",F14,""))))</f>
        <v>Adresse</v>
      </c>
      <c r="C14" s="88" t="s">
        <v>52</v>
      </c>
      <c r="D14" s="88" t="s">
        <v>61</v>
      </c>
      <c r="E14" s="88" t="s">
        <v>52</v>
      </c>
      <c r="F14" s="88" t="s">
        <v>135</v>
      </c>
    </row>
    <row r="15" spans="1:34" ht="17.25" customHeight="1">
      <c r="B15" s="1" t="str">
        <f>IF(Form!$G$3="Deutsch",C15,IF(Form!$G$3="English",D15,IF(Form!$G$3="Français",E15,IF(Form!$G$3="Italiano",F15,""))))</f>
        <v>Kontaktperson, Telefon-Nr.</v>
      </c>
      <c r="C15" s="88" t="s">
        <v>12</v>
      </c>
      <c r="D15" s="88" t="s">
        <v>62</v>
      </c>
      <c r="E15" s="88" t="s">
        <v>136</v>
      </c>
      <c r="F15" s="88" t="s">
        <v>137</v>
      </c>
    </row>
    <row r="16" spans="1:34" ht="17.25" customHeight="1">
      <c r="B16" s="1" t="str">
        <f>IF(Form!$G$3="Deutsch",C16,IF(Form!$G$3="English",D16,IF(Form!$G$3="Français",E16,IF(Form!$G$3="Italiano",F16,""))))</f>
        <v>Stellenbezeichnung</v>
      </c>
      <c r="C16" s="88" t="s">
        <v>13</v>
      </c>
      <c r="D16" s="88" t="s">
        <v>63</v>
      </c>
      <c r="E16" s="88" t="s">
        <v>138</v>
      </c>
      <c r="F16" s="88" t="s">
        <v>139</v>
      </c>
    </row>
    <row r="17" spans="2:6" ht="17.25" customHeight="1">
      <c r="B17" s="1" t="str">
        <f>IF(Form!$G$3="Deutsch",C17,IF(Form!$G$3="English",D17,IF(Form!$G$3="Français",E17,IF(Form!$G$3="Italiano",F17,""))))</f>
        <v xml:space="preserve"> Zuweisung RAV</v>
      </c>
      <c r="C17" s="88" t="s">
        <v>29</v>
      </c>
      <c r="D17" s="88" t="s">
        <v>140</v>
      </c>
      <c r="E17" s="88" t="s">
        <v>141</v>
      </c>
      <c r="F17" s="88" t="s">
        <v>142</v>
      </c>
    </row>
    <row r="18" spans="2:6" ht="17.25" customHeight="1">
      <c r="B18" s="1" t="str">
        <f>IF(Form!$G$3="Deutsch",C18,IF(Form!$G$3="English",D18,IF(Form!$G$3="Français",E18,IF(Form!$G$3="Italiano",F18,""))))</f>
        <v xml:space="preserve"> Vollzeit</v>
      </c>
      <c r="C18" s="88" t="s">
        <v>30</v>
      </c>
      <c r="D18" s="88" t="s">
        <v>143</v>
      </c>
      <c r="E18" s="88" t="s">
        <v>144</v>
      </c>
      <c r="F18" s="88" t="s">
        <v>145</v>
      </c>
    </row>
    <row r="19" spans="2:6" ht="17.25" customHeight="1">
      <c r="B19" s="1" t="str">
        <f>IF(Form!$G$3="Deutsch",C19,IF(Form!$G$3="English",D19,IF(Form!$G$3="Français",E19,IF(Form!$G$3="Italiano",F19,""))))</f>
        <v xml:space="preserve"> Teilzeit (%)</v>
      </c>
      <c r="C19" s="88" t="s">
        <v>31</v>
      </c>
      <c r="D19" s="88" t="s">
        <v>146</v>
      </c>
      <c r="E19" s="88" t="s">
        <v>147</v>
      </c>
      <c r="F19" s="88" t="s">
        <v>148</v>
      </c>
    </row>
    <row r="20" spans="2:6" ht="17.25" customHeight="1">
      <c r="B20" s="1" t="str">
        <f>IF(Form!$G$3="Deutsch",C20,IF(Form!$G$3="English",D20,IF(Form!$G$3="Français",E20,IF(Form!$G$3="Italiano",F20,""))))</f>
        <v xml:space="preserve"> Brieflich/ elektronisch</v>
      </c>
      <c r="C20" s="88" t="s">
        <v>32</v>
      </c>
      <c r="D20" s="88" t="s">
        <v>149</v>
      </c>
      <c r="E20" s="88" t="s">
        <v>150</v>
      </c>
      <c r="F20" s="88" t="s">
        <v>151</v>
      </c>
    </row>
    <row r="21" spans="2:6" ht="17.25" customHeight="1">
      <c r="B21" s="1" t="str">
        <f>IF(Form!$G$3="Deutsch",C21,IF(Form!$G$3="English",D21,IF(Form!$G$3="Français",E21,IF(Form!$G$3="Italiano",F21,""))))</f>
        <v xml:space="preserve"> Persönlich</v>
      </c>
      <c r="C21" s="88" t="s">
        <v>33</v>
      </c>
      <c r="D21" s="88" t="s">
        <v>152</v>
      </c>
      <c r="E21" s="88" t="s">
        <v>153</v>
      </c>
      <c r="F21" s="88" t="s">
        <v>154</v>
      </c>
    </row>
    <row r="22" spans="2:6" ht="17.25" customHeight="1">
      <c r="B22" s="1" t="str">
        <f>IF(Form!$G$3="Deutsch",C22,IF(Form!$G$3="English",D22,IF(Form!$G$3="Français",E22,IF(Form!$G$3="Italiano",F22,""))))</f>
        <v xml:space="preserve"> Telefonisch</v>
      </c>
      <c r="C22" s="88" t="s">
        <v>34</v>
      </c>
      <c r="D22" s="88" t="s">
        <v>155</v>
      </c>
      <c r="E22" s="88" t="s">
        <v>156</v>
      </c>
      <c r="F22" s="88" t="s">
        <v>157</v>
      </c>
    </row>
    <row r="23" spans="2:6" ht="17.25" customHeight="1">
      <c r="B23" s="1" t="str">
        <f>IF(Form!$G$3="Deutsch",C23,IF(Form!$G$3="English",D23,IF(Form!$G$3="Français",E23,IF(Form!$G$3="Italiano",F23,""))))</f>
        <v xml:space="preserve"> noch offen</v>
      </c>
      <c r="C23" s="88" t="s">
        <v>35</v>
      </c>
      <c r="D23" s="88" t="s">
        <v>158</v>
      </c>
      <c r="E23" s="88" t="s">
        <v>159</v>
      </c>
      <c r="F23" s="88" t="s">
        <v>160</v>
      </c>
    </row>
    <row r="24" spans="2:6" ht="17.25" customHeight="1">
      <c r="B24" s="1" t="str">
        <f>IF(Form!$G$3="Deutsch",C24,IF(Form!$G$3="English",D24,IF(Form!$G$3="Français",E24,IF(Form!$G$3="Italiano",F24,""))))</f>
        <v xml:space="preserve"> Vorstellungs- gespräch</v>
      </c>
      <c r="C24" s="88" t="s">
        <v>36</v>
      </c>
      <c r="D24" s="88" t="s">
        <v>161</v>
      </c>
      <c r="E24" s="88" t="s">
        <v>162</v>
      </c>
      <c r="F24" s="88" t="s">
        <v>163</v>
      </c>
    </row>
    <row r="25" spans="2:6" ht="17.25" customHeight="1">
      <c r="B25" s="1" t="str">
        <f>IF(Form!$G$3="Deutsch",C25,IF(Form!$G$3="English",D25,IF(Form!$G$3="Français",E25,IF(Form!$G$3="Italiano",F25,""))))</f>
        <v xml:space="preserve"> Anstellung</v>
      </c>
      <c r="C25" s="88" t="s">
        <v>37</v>
      </c>
      <c r="D25" s="88" t="s">
        <v>164</v>
      </c>
      <c r="E25" s="88" t="s">
        <v>165</v>
      </c>
      <c r="F25" s="88" t="s">
        <v>166</v>
      </c>
    </row>
    <row r="26" spans="2:6" ht="17.25" customHeight="1">
      <c r="B26" s="1" t="str">
        <f>IF(Form!$G$3="Deutsch",C26,IF(Form!$G$3="English",D26,IF(Form!$G$3="Français",E26,IF(Form!$G$3="Italiano",F26,""))))</f>
        <v xml:space="preserve"> Absage</v>
      </c>
      <c r="C26" s="88" t="s">
        <v>38</v>
      </c>
      <c r="D26" s="88" t="s">
        <v>167</v>
      </c>
      <c r="E26" s="88" t="s">
        <v>168</v>
      </c>
      <c r="F26" s="88" t="s">
        <v>169</v>
      </c>
    </row>
    <row r="27" spans="2:6" ht="17.25" customHeight="1">
      <c r="B27" s="1" t="str">
        <f>IF(Form!$G$3="Deutsch",C27,IF(Form!$G$3="English",D27,IF(Form!$G$3="Français",E27,IF(Form!$G$3="Italiano",F27,""))))</f>
        <v>Pensum</v>
      </c>
      <c r="C27" s="88" t="s">
        <v>9</v>
      </c>
      <c r="D27" s="88" t="s">
        <v>81</v>
      </c>
      <c r="E27" s="88" t="s">
        <v>170</v>
      </c>
      <c r="F27" s="88" t="s">
        <v>171</v>
      </c>
    </row>
    <row r="28" spans="2:6" ht="17.25" customHeight="1">
      <c r="B28" s="1" t="str">
        <f>IF(Form!$G$3="Deutsch",C28,IF(Form!$G$3="English",D28,IF(Form!$G$3="Français",E28,IF(Form!$G$3="Italiano",F28,""))))</f>
        <v>Bewerbung</v>
      </c>
      <c r="C28" s="88" t="s">
        <v>7</v>
      </c>
      <c r="D28" s="88" t="s">
        <v>58</v>
      </c>
      <c r="E28" s="88" t="s">
        <v>127</v>
      </c>
      <c r="F28" s="88" t="s">
        <v>128</v>
      </c>
    </row>
    <row r="29" spans="2:6" ht="17.25" customHeight="1">
      <c r="B29" s="1" t="str">
        <f>IF(Form!$G$3="Deutsch",C29,IF(Form!$G$3="English",D29,IF(Form!$G$3="Français",E29,IF(Form!$G$3="Italiano",F29,""))))</f>
        <v>Ergebnis der Bewerbung</v>
      </c>
      <c r="C29" s="88" t="s">
        <v>8</v>
      </c>
      <c r="D29" s="88" t="s">
        <v>64</v>
      </c>
      <c r="E29" s="88" t="s">
        <v>172</v>
      </c>
      <c r="F29" s="88" t="s">
        <v>173</v>
      </c>
    </row>
    <row r="30" spans="2:6" ht="17.25" customHeight="1">
      <c r="B30" s="1" t="str">
        <f>IF(Form!$G$3="Deutsch",C30,IF(Form!$G$3="English",D30,IF(Form!$G$3="Français",E30,IF(Form!$G$3="Italiano",F30,""))))</f>
        <v>Begründung</v>
      </c>
      <c r="C30" s="88" t="s">
        <v>70</v>
      </c>
      <c r="D30" s="88" t="s">
        <v>71</v>
      </c>
      <c r="E30" s="88" t="s">
        <v>174</v>
      </c>
      <c r="F30" s="88" t="s">
        <v>175</v>
      </c>
    </row>
    <row r="31" spans="2:6" ht="17.25" customHeight="1">
      <c r="B31" s="2" t="str">
        <f>HYPERLINK(IF(Form!$G$3="Deutsch",C31,IF(Form!$G$3="English",D31,IF(Form!$G$3="Français",E31,IF(Form!$G$3="Italiano",F31,"")))))</f>
        <v>https://www.ahv-iv.ch/de/</v>
      </c>
      <c r="C31" s="89" t="s">
        <v>72</v>
      </c>
      <c r="D31" s="89" t="s">
        <v>73</v>
      </c>
      <c r="E31" s="89" t="s">
        <v>73</v>
      </c>
      <c r="F31" s="89" t="s">
        <v>184</v>
      </c>
    </row>
    <row r="32" spans="2:6" ht="17.25" customHeight="1">
      <c r="B32" s="2" t="str">
        <f>HYPERLINK(IF(Form!$G$3="Deutsch",C32,IF(Form!$G$3="English",D32,IF(Form!$G$3="Français",E32,IF(Form!$G$3="Italiano",F32,"")))))</f>
        <v>https://www.arbeit.swiss/secoalv/de/home.html</v>
      </c>
      <c r="C32" s="89" t="s">
        <v>77</v>
      </c>
      <c r="D32" s="89" t="s">
        <v>78</v>
      </c>
      <c r="E32" s="89" t="s">
        <v>78</v>
      </c>
      <c r="F32" s="88" t="s">
        <v>78</v>
      </c>
    </row>
    <row r="33" spans="2:6" ht="17.25" customHeight="1">
      <c r="B33" s="1" t="str">
        <f>IF(Form!$G$3="Deutsch",C33,IF(Form!$G$3="English",D33,IF(Form!$G$3="Français",E33,IF(Form!$G$3="Italiano",F33,""))))</f>
        <v>Formular "Nachweis der persönlichen Arbeitsbemühungen"</v>
      </c>
      <c r="C33" s="88" t="s">
        <v>79</v>
      </c>
      <c r="D33" s="88" t="s">
        <v>80</v>
      </c>
      <c r="E33" s="88" t="s">
        <v>176</v>
      </c>
      <c r="F33" s="88" t="s">
        <v>177</v>
      </c>
    </row>
    <row r="34" spans="2:6" ht="17.25" customHeight="1">
      <c r="B34" s="1" t="str">
        <f>IF(Form!$G$3="Deutsch",C34,IF(Form!$G$3="English",D34,IF(Form!$G$3="Français",E34,IF(Form!$G$3="Italiano",F34,""))))</f>
        <v>Beilagen:</v>
      </c>
      <c r="C34" s="88" t="s">
        <v>20</v>
      </c>
      <c r="D34" s="88" t="s">
        <v>82</v>
      </c>
      <c r="E34" s="88" t="s">
        <v>178</v>
      </c>
      <c r="F34" s="88" t="s">
        <v>179</v>
      </c>
    </row>
    <row r="35" spans="2:6" ht="17.25" customHeight="1">
      <c r="B35" s="1" t="str">
        <f>IF(Form!$G$3="Deutsch",C35,IF(Form!$G$3="English",D35,IF(Form!$G$3="Français",E35,IF(Form!$G$3="Italiano",F35,""))))</f>
        <v>Monat:</v>
      </c>
      <c r="C35" s="88" t="s">
        <v>83</v>
      </c>
      <c r="D35" s="88" t="s">
        <v>84</v>
      </c>
      <c r="E35" s="88" t="s">
        <v>180</v>
      </c>
      <c r="F35" s="88" t="s">
        <v>181</v>
      </c>
    </row>
    <row r="36" spans="2:6" ht="17.25" customHeight="1">
      <c r="B36" s="1" t="str">
        <f>IF(Form!$G$3="Deutsch",C36,IF(Form!$G$3="English",D36,IF(Form!$G$3="Français",E36,IF(Form!$G$3="Italiano",F36,""))))</f>
        <v>Jahr:</v>
      </c>
      <c r="C36" s="88" t="s">
        <v>113</v>
      </c>
      <c r="D36" s="88" t="s">
        <v>114</v>
      </c>
      <c r="E36" s="88" t="s">
        <v>182</v>
      </c>
      <c r="F36" s="88" t="s">
        <v>183</v>
      </c>
    </row>
    <row r="37" spans="2:6" ht="17.25" customHeight="1">
      <c r="B37" s="1">
        <f>IF(Form!$G$3="Deutsch",C37,IF(Form!$G$3="English",D37,IF(Form!$G$3="Français",E37,IF(Form!$G$3="Italiano",F37,""))))</f>
        <v>0</v>
      </c>
      <c r="C37" s="88"/>
      <c r="D37" s="88"/>
      <c r="E37" s="88"/>
      <c r="F37" s="88"/>
    </row>
    <row r="38" spans="2:6" ht="17.25" customHeight="1">
      <c r="B38" s="1">
        <f>IF(Form!$G$3="Deutsch",C38,IF(Form!$G$3="English",D38,IF(Form!$G$3="Français",E38,IF(Form!$G$3="Italiano",F38,""))))</f>
        <v>0</v>
      </c>
      <c r="C38" s="88"/>
      <c r="D38" s="88"/>
      <c r="E38" s="88"/>
      <c r="F38" s="88"/>
    </row>
    <row r="39" spans="2:6" ht="17.25" customHeight="1">
      <c r="B39" s="1">
        <f>IF(Form!$G$3="Deutsch",C39,IF(Form!$G$3="English",D39,IF(Form!$G$3="Français",E39,IF(Form!$G$3="Italiano",F39,""))))</f>
        <v>0</v>
      </c>
      <c r="C39" s="88"/>
      <c r="D39" s="88"/>
      <c r="E39" s="88"/>
      <c r="F39" s="88"/>
    </row>
    <row r="40" spans="2:6" ht="17.25" customHeight="1">
      <c r="B40" s="1">
        <f>IF(Form!$G$3="Deutsch",C40,IF(Form!$G$3="English",D40,IF(Form!$G$3="Français",E40,IF(Form!$G$3="Italiano",F40,""))))</f>
        <v>0</v>
      </c>
      <c r="C40" s="88"/>
      <c r="D40" s="88"/>
      <c r="E40" s="88"/>
      <c r="F40" s="88"/>
    </row>
    <row r="41" spans="2:6" ht="17.25" customHeight="1">
      <c r="B41" s="1">
        <f>IF(Form!$G$3="Deutsch",C41,IF(Form!$G$3="English",D41,IF(Form!$G$3="Français",E41,IF(Form!$G$3="Italiano",F41,""))))</f>
        <v>0</v>
      </c>
      <c r="C41" s="88"/>
      <c r="D41" s="88"/>
      <c r="E41" s="88"/>
      <c r="F41" s="88"/>
    </row>
    <row r="42" spans="2:6" ht="17.25" customHeight="1">
      <c r="B42" s="1">
        <f>IF(Form!$G$3="Deutsch",C42,IF(Form!$G$3="English",D42,IF(Form!$G$3="Français",E42,IF(Form!$G$3="Italiano",F42,""))))</f>
        <v>0</v>
      </c>
      <c r="C42" s="88"/>
      <c r="D42" s="88"/>
      <c r="E42" s="88"/>
      <c r="F42" s="88"/>
    </row>
    <row r="43" spans="2:6" ht="17.25" customHeight="1">
      <c r="B43" s="1">
        <f>IF(Form!$G$3="Deutsch",C43,IF(Form!$G$3="English",D43,IF(Form!$G$3="Français",E43,IF(Form!$G$3="Italiano",F43,""))))</f>
        <v>0</v>
      </c>
      <c r="C43" s="88"/>
      <c r="D43" s="88"/>
      <c r="E43" s="88"/>
      <c r="F43" s="88"/>
    </row>
    <row r="44" spans="2:6" ht="17.25" customHeight="1">
      <c r="B44" s="1">
        <f>IF(Form!$G$3="Deutsch",C44,IF(Form!$G$3="English",D44,IF(Form!$G$3="Français",E44,IF(Form!$G$3="Italiano",F44,""))))</f>
        <v>0</v>
      </c>
      <c r="C44" s="88"/>
      <c r="D44" s="88"/>
      <c r="E44" s="88"/>
      <c r="F44" s="88"/>
    </row>
    <row r="45" spans="2:6" ht="17.25" customHeight="1">
      <c r="B45" s="1">
        <f>IF(Form!$G$3="Deutsch",C45,IF(Form!$G$3="English",D45,IF(Form!$G$3="Français",E45,IF(Form!$G$3="Italiano",F45,""))))</f>
        <v>0</v>
      </c>
      <c r="C45" s="88"/>
      <c r="D45" s="88"/>
      <c r="E45" s="88"/>
      <c r="F45" s="88"/>
    </row>
    <row r="46" spans="2:6" ht="17.25" customHeight="1">
      <c r="B46" s="1">
        <f>IF(Form!$G$3="Deutsch",C46,IF(Form!$G$3="English",D46,IF(Form!$G$3="Français",E46,IF(Form!$G$3="Italiano",F46,""))))</f>
        <v>0</v>
      </c>
      <c r="C46" s="88"/>
      <c r="D46" s="88"/>
      <c r="E46" s="88"/>
      <c r="F46" s="88"/>
    </row>
    <row r="47" spans="2:6" ht="17.25" customHeight="1">
      <c r="B47" s="1">
        <f>IF(Form!$G$3="Deutsch",C47,IF(Form!$G$3="English",D47,IF(Form!$G$3="Français",E47,IF(Form!$G$3="Italiano",F47,""))))</f>
        <v>0</v>
      </c>
      <c r="C47" s="88"/>
      <c r="D47" s="88"/>
      <c r="E47" s="88"/>
      <c r="F47" s="88"/>
    </row>
  </sheetData>
  <sheetProtection sheet="1" objects="1" scenarios="1"/>
  <phoneticPr fontId="10" type="noConversion"/>
  <hyperlinks>
    <hyperlink ref="C31" r:id="rId1" xr:uid="{D13861DB-2BFF-4866-9BAC-A900672DFF22}"/>
    <hyperlink ref="D31" r:id="rId2" xr:uid="{5D18376E-7EF0-441B-9DDB-16724F51380E}"/>
    <hyperlink ref="F31" r:id="rId3" xr:uid="{8785593C-7843-4709-824F-90BF6DB95D42}"/>
  </hyperlinks>
  <pageMargins left="0.7" right="0.7" top="0.78740157499999996" bottom="0.78740157499999996" header="0.3" footer="0.3"/>
  <pageSetup paperSize="9" orientation="portrait"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E6642-CC18-4A92-9048-4BEABC156F34}">
  <sheetPr codeName="Tabelle4"/>
  <dimension ref="A1:AH35"/>
  <sheetViews>
    <sheetView workbookViewId="0">
      <selection sqref="A1:XFD1"/>
    </sheetView>
  </sheetViews>
  <sheetFormatPr baseColWidth="10" defaultColWidth="11.5" defaultRowHeight="14"/>
  <cols>
    <col min="1" max="1" width="11.5" style="4"/>
    <col min="2" max="2" width="4.6640625" style="91" customWidth="1"/>
    <col min="3" max="3" width="39.5" style="4" bestFit="1" customWidth="1"/>
    <col min="4" max="4" width="4.6640625" style="91" customWidth="1"/>
    <col min="5" max="5" width="5.1640625" style="4" customWidth="1"/>
    <col min="6" max="6" width="4.6640625" style="91" customWidth="1"/>
    <col min="7" max="7" width="7" style="61" customWidth="1"/>
    <col min="8" max="8" width="4.6640625" style="91" customWidth="1"/>
    <col min="9" max="9" width="7.1640625" style="4" customWidth="1"/>
    <col min="10" max="10" width="4.6640625" style="91" customWidth="1"/>
    <col min="11" max="11" width="21.5" style="4" customWidth="1"/>
    <col min="12" max="12" width="4.6640625" style="91" customWidth="1"/>
    <col min="13" max="13" width="10.33203125" style="4" customWidth="1"/>
    <col min="14" max="14" width="4.6640625" style="91" customWidth="1"/>
    <col min="15" max="15" width="21.5" style="4" customWidth="1"/>
    <col min="16" max="17" width="13.1640625" style="4" bestFit="1" customWidth="1"/>
    <col min="18" max="18" width="13.83203125" style="4" bestFit="1" customWidth="1"/>
    <col min="19" max="19" width="11.33203125" style="4" bestFit="1" customWidth="1"/>
    <col min="20" max="16384" width="11.5" style="4"/>
  </cols>
  <sheetData>
    <row r="1" spans="1:34" s="90" customFormat="1" ht="31">
      <c r="A1" s="58"/>
      <c r="B1" s="58" t="s">
        <v>41</v>
      </c>
      <c r="C1" s="59"/>
      <c r="D1" s="58"/>
      <c r="E1" s="59"/>
      <c r="F1" s="58"/>
      <c r="G1" s="59"/>
      <c r="H1" s="58"/>
      <c r="I1" s="59"/>
      <c r="J1" s="58"/>
      <c r="K1" s="59"/>
      <c r="L1" s="58"/>
      <c r="M1" s="59"/>
      <c r="N1" s="58"/>
      <c r="O1" s="59"/>
      <c r="P1" s="59"/>
      <c r="Q1" s="97"/>
      <c r="R1" s="97"/>
      <c r="S1" s="97"/>
      <c r="T1" s="97"/>
      <c r="U1" s="97"/>
      <c r="V1" s="97"/>
      <c r="W1" s="97"/>
      <c r="X1" s="97"/>
      <c r="Y1" s="97"/>
      <c r="Z1" s="97"/>
      <c r="AA1" s="97"/>
      <c r="AB1" s="97"/>
      <c r="AC1" s="97"/>
      <c r="AD1" s="97"/>
      <c r="AE1" s="97"/>
      <c r="AF1" s="97"/>
      <c r="AG1" s="97"/>
      <c r="AH1" s="97"/>
    </row>
    <row r="4" spans="1:34">
      <c r="C4" s="92" t="s">
        <v>42</v>
      </c>
      <c r="E4" s="92" t="s">
        <v>14</v>
      </c>
      <c r="G4" s="92" t="s">
        <v>15</v>
      </c>
      <c r="I4" s="92" t="s">
        <v>28</v>
      </c>
      <c r="K4" s="92" t="s">
        <v>43</v>
      </c>
      <c r="M4" s="92" t="s">
        <v>112</v>
      </c>
      <c r="O4" s="92" t="s">
        <v>43</v>
      </c>
      <c r="P4" s="92" t="s">
        <v>44</v>
      </c>
      <c r="Q4" s="92" t="s">
        <v>48</v>
      </c>
      <c r="R4" s="92" t="s">
        <v>65</v>
      </c>
      <c r="S4" s="92" t="s">
        <v>66</v>
      </c>
    </row>
    <row r="5" spans="1:34">
      <c r="B5" s="91">
        <v>1</v>
      </c>
      <c r="C5" s="93"/>
      <c r="D5" s="91">
        <v>1</v>
      </c>
      <c r="E5" s="94">
        <v>1</v>
      </c>
      <c r="F5" s="91">
        <v>1</v>
      </c>
      <c r="G5" s="94"/>
      <c r="H5" s="91">
        <v>1</v>
      </c>
      <c r="I5" s="93"/>
      <c r="J5" s="91">
        <v>1</v>
      </c>
      <c r="K5" s="93"/>
      <c r="L5" s="91">
        <v>1</v>
      </c>
      <c r="M5" s="93"/>
      <c r="N5" s="91">
        <v>1</v>
      </c>
      <c r="O5" s="93" t="str">
        <f>IF(Form!$G$3="Deutsch",P5,IF(Form!$G$3="English",Q5,IF(Form!$G$3="Français",R5,IF(Form!$G$3="Italiano",S5,""))))</f>
        <v xml:space="preserve">Januar      </v>
      </c>
      <c r="P5" s="95" t="s">
        <v>86</v>
      </c>
      <c r="Q5" s="95" t="s">
        <v>87</v>
      </c>
      <c r="R5" s="95" t="s">
        <v>185</v>
      </c>
      <c r="S5" s="95" t="s">
        <v>88</v>
      </c>
    </row>
    <row r="6" spans="1:34">
      <c r="B6" s="91">
        <v>2</v>
      </c>
      <c r="C6" s="93" t="s">
        <v>44</v>
      </c>
      <c r="D6" s="91">
        <v>2</v>
      </c>
      <c r="E6" s="94">
        <v>2</v>
      </c>
      <c r="F6" s="91">
        <v>2</v>
      </c>
      <c r="G6" s="94">
        <v>1</v>
      </c>
      <c r="H6" s="91">
        <v>2</v>
      </c>
      <c r="I6" s="93" t="s">
        <v>53</v>
      </c>
      <c r="J6" s="91">
        <v>2</v>
      </c>
      <c r="K6" s="93" t="s">
        <v>45</v>
      </c>
      <c r="L6" s="91">
        <v>2</v>
      </c>
      <c r="M6" s="93">
        <v>2025</v>
      </c>
      <c r="N6" s="91">
        <v>2</v>
      </c>
      <c r="O6" s="93" t="str">
        <f>IF(Form!$G$3="Deutsch",P6,IF(Form!$G$3="English",Q6,IF(Form!$G$3="Français",R6,IF(Form!$G$3="Italiano",S6,""))))</f>
        <v xml:space="preserve">Februar     </v>
      </c>
      <c r="P6" s="95" t="s">
        <v>89</v>
      </c>
      <c r="Q6" s="95" t="s">
        <v>90</v>
      </c>
      <c r="R6" s="95" t="s">
        <v>186</v>
      </c>
      <c r="S6" s="95" t="s">
        <v>91</v>
      </c>
    </row>
    <row r="7" spans="1:34">
      <c r="B7" s="91">
        <v>3</v>
      </c>
      <c r="C7" s="93" t="s">
        <v>46</v>
      </c>
      <c r="D7" s="91">
        <v>3</v>
      </c>
      <c r="E7" s="94">
        <v>3</v>
      </c>
      <c r="F7" s="91">
        <v>3</v>
      </c>
      <c r="G7" s="94">
        <v>2</v>
      </c>
      <c r="H7" s="91">
        <v>2</v>
      </c>
      <c r="I7" s="93" t="s">
        <v>28</v>
      </c>
      <c r="J7" s="91">
        <v>3</v>
      </c>
      <c r="K7" s="93" t="s">
        <v>45</v>
      </c>
      <c r="L7" s="91">
        <v>3</v>
      </c>
      <c r="M7" s="93">
        <v>2026</v>
      </c>
      <c r="N7" s="91">
        <v>3</v>
      </c>
      <c r="O7" s="93" t="str">
        <f>IF(Form!$G$3="Deutsch",P7,IF(Form!$G$3="English",Q7,IF(Form!$G$3="Français",R7,IF(Form!$G$3="Italiano",S7,""))))</f>
        <v xml:space="preserve">März </v>
      </c>
      <c r="P7" s="95" t="s">
        <v>187</v>
      </c>
      <c r="Q7" s="95" t="s">
        <v>188</v>
      </c>
      <c r="R7" s="95" t="s">
        <v>189</v>
      </c>
      <c r="S7" s="95" t="s">
        <v>92</v>
      </c>
    </row>
    <row r="8" spans="1:34">
      <c r="B8" s="91">
        <v>4</v>
      </c>
      <c r="C8" s="93" t="s">
        <v>67</v>
      </c>
      <c r="D8" s="91">
        <v>4</v>
      </c>
      <c r="E8" s="94">
        <v>4</v>
      </c>
      <c r="F8" s="91">
        <v>4</v>
      </c>
      <c r="G8" s="94">
        <v>3</v>
      </c>
      <c r="J8" s="91">
        <v>4</v>
      </c>
      <c r="K8" s="93" t="s">
        <v>45</v>
      </c>
      <c r="L8" s="91">
        <v>4</v>
      </c>
      <c r="M8" s="93">
        <v>2027</v>
      </c>
      <c r="N8" s="91">
        <v>4</v>
      </c>
      <c r="O8" s="93" t="str">
        <f>IF(Form!$G$3="Deutsch",P8,IF(Form!$G$3="English",Q8,IF(Form!$G$3="Français",R8,IF(Form!$G$3="Italiano",S8,""))))</f>
        <v>April</v>
      </c>
      <c r="P8" s="95" t="s">
        <v>85</v>
      </c>
      <c r="Q8" s="95" t="s">
        <v>85</v>
      </c>
      <c r="R8" s="95" t="s">
        <v>190</v>
      </c>
      <c r="S8" s="95" t="s">
        <v>93</v>
      </c>
    </row>
    <row r="9" spans="1:34">
      <c r="B9" s="91">
        <v>5</v>
      </c>
      <c r="C9" s="93" t="s">
        <v>68</v>
      </c>
      <c r="D9" s="91">
        <v>5</v>
      </c>
      <c r="E9" s="94">
        <v>5</v>
      </c>
      <c r="F9" s="91">
        <v>5</v>
      </c>
      <c r="G9" s="94">
        <v>4</v>
      </c>
      <c r="J9" s="91">
        <v>5</v>
      </c>
      <c r="K9" s="93" t="s">
        <v>45</v>
      </c>
      <c r="L9" s="91">
        <v>5</v>
      </c>
      <c r="M9" s="93">
        <v>2028</v>
      </c>
      <c r="N9" s="91">
        <v>5</v>
      </c>
      <c r="O9" s="93" t="str">
        <f>IF(Form!$G$3="Deutsch",P9,IF(Form!$G$3="English",Q9,IF(Form!$G$3="Français",R9,IF(Form!$G$3="Italiano",S9,""))))</f>
        <v xml:space="preserve">Mai  </v>
      </c>
      <c r="P9" s="95" t="s">
        <v>191</v>
      </c>
      <c r="Q9" s="95" t="s">
        <v>192</v>
      </c>
      <c r="R9" s="95" t="s">
        <v>193</v>
      </c>
      <c r="S9" s="95" t="s">
        <v>94</v>
      </c>
    </row>
    <row r="10" spans="1:34">
      <c r="D10" s="91">
        <v>6</v>
      </c>
      <c r="E10" s="94">
        <v>6</v>
      </c>
      <c r="F10" s="91">
        <v>6</v>
      </c>
      <c r="G10" s="94">
        <v>5</v>
      </c>
      <c r="J10" s="91">
        <v>6</v>
      </c>
      <c r="K10" s="93" t="s">
        <v>45</v>
      </c>
      <c r="L10" s="91">
        <v>6</v>
      </c>
      <c r="M10" s="93">
        <v>2029</v>
      </c>
      <c r="N10" s="91">
        <v>6</v>
      </c>
      <c r="O10" s="93" t="str">
        <f>IF(Form!$G$3="Deutsch",P10,IF(Form!$G$3="English",Q10,IF(Form!$G$3="Français",R10,IF(Form!$G$3="Italiano",S10,""))))</f>
        <v xml:space="preserve">Juni </v>
      </c>
      <c r="P10" s="95" t="s">
        <v>194</v>
      </c>
      <c r="Q10" s="95" t="s">
        <v>195</v>
      </c>
      <c r="R10" s="95" t="s">
        <v>196</v>
      </c>
      <c r="S10" s="95" t="s">
        <v>95</v>
      </c>
    </row>
    <row r="11" spans="1:34">
      <c r="D11" s="91">
        <v>7</v>
      </c>
      <c r="E11" s="94">
        <v>7</v>
      </c>
      <c r="F11" s="91">
        <v>7</v>
      </c>
      <c r="G11" s="94">
        <v>6</v>
      </c>
      <c r="J11" s="91">
        <v>7</v>
      </c>
      <c r="K11" s="93" t="s">
        <v>45</v>
      </c>
      <c r="L11" s="91">
        <v>7</v>
      </c>
      <c r="M11" s="93">
        <v>2030</v>
      </c>
      <c r="N11" s="91">
        <v>7</v>
      </c>
      <c r="O11" s="93" t="str">
        <f>IF(Form!$G$3="Deutsch",P11,IF(Form!$G$3="English",Q11,IF(Form!$G$3="Français",R11,IF(Form!$G$3="Italiano",S11,""))))</f>
        <v xml:space="preserve">Juli </v>
      </c>
      <c r="P11" s="95" t="s">
        <v>197</v>
      </c>
      <c r="Q11" s="95" t="s">
        <v>198</v>
      </c>
      <c r="R11" s="95" t="s">
        <v>199</v>
      </c>
      <c r="S11" s="95" t="s">
        <v>96</v>
      </c>
    </row>
    <row r="12" spans="1:34">
      <c r="D12" s="91">
        <v>8</v>
      </c>
      <c r="E12" s="94">
        <v>8</v>
      </c>
      <c r="F12" s="91">
        <v>8</v>
      </c>
      <c r="G12" s="94">
        <v>7</v>
      </c>
      <c r="J12" s="91">
        <v>8</v>
      </c>
      <c r="K12" s="93" t="s">
        <v>45</v>
      </c>
      <c r="L12" s="91">
        <v>8</v>
      </c>
      <c r="M12" s="93">
        <v>2031</v>
      </c>
      <c r="N12" s="91">
        <v>8</v>
      </c>
      <c r="O12" s="93" t="str">
        <f>IF(Form!$G$3="Deutsch",P12,IF(Form!$G$3="English",Q12,IF(Form!$G$3="Français",R12,IF(Form!$G$3="Italiano",S12,""))))</f>
        <v xml:space="preserve">August      </v>
      </c>
      <c r="P12" s="95" t="s">
        <v>97</v>
      </c>
      <c r="Q12" s="95" t="s">
        <v>97</v>
      </c>
      <c r="R12" s="95" t="s">
        <v>200</v>
      </c>
      <c r="S12" s="95" t="s">
        <v>98</v>
      </c>
    </row>
    <row r="13" spans="1:34">
      <c r="D13" s="91">
        <v>9</v>
      </c>
      <c r="E13" s="94">
        <v>9</v>
      </c>
      <c r="F13" s="91">
        <v>9</v>
      </c>
      <c r="G13" s="94">
        <v>8</v>
      </c>
      <c r="J13" s="91">
        <v>9</v>
      </c>
      <c r="K13" s="93" t="s">
        <v>45</v>
      </c>
      <c r="N13" s="91">
        <v>9</v>
      </c>
      <c r="O13" s="93" t="str">
        <f>IF(Form!$G$3="Deutsch",P13,IF(Form!$G$3="English",Q13,IF(Form!$G$3="Français",R13,IF(Form!$G$3="Italiano",S13,""))))</f>
        <v xml:space="preserve">September   </v>
      </c>
      <c r="P13" s="95" t="s">
        <v>99</v>
      </c>
      <c r="Q13" s="95" t="s">
        <v>99</v>
      </c>
      <c r="R13" s="95" t="s">
        <v>100</v>
      </c>
      <c r="S13" s="95" t="s">
        <v>101</v>
      </c>
    </row>
    <row r="14" spans="1:34">
      <c r="D14" s="91">
        <v>10</v>
      </c>
      <c r="E14" s="94">
        <v>10</v>
      </c>
      <c r="F14" s="91">
        <v>10</v>
      </c>
      <c r="G14" s="94">
        <v>9</v>
      </c>
      <c r="J14" s="91">
        <v>10</v>
      </c>
      <c r="K14" s="93" t="s">
        <v>45</v>
      </c>
      <c r="N14" s="91">
        <v>10</v>
      </c>
      <c r="O14" s="93" t="str">
        <f>IF(Form!$G$3="Deutsch",P14,IF(Form!$G$3="English",Q14,IF(Form!$G$3="Français",R14,IF(Form!$G$3="Italiano",S14,""))))</f>
        <v xml:space="preserve">Oktober     </v>
      </c>
      <c r="P14" s="95" t="s">
        <v>102</v>
      </c>
      <c r="Q14" s="95" t="s">
        <v>103</v>
      </c>
      <c r="R14" s="95" t="s">
        <v>201</v>
      </c>
      <c r="S14" s="95" t="s">
        <v>104</v>
      </c>
    </row>
    <row r="15" spans="1:34">
      <c r="E15" s="94">
        <v>11</v>
      </c>
      <c r="F15" s="91">
        <v>11</v>
      </c>
      <c r="G15" s="94">
        <v>10</v>
      </c>
      <c r="O15" s="93" t="str">
        <f>IF(Form!$G$3="Deutsch",P15,IF(Form!$G$3="English",Q15,IF(Form!$G$3="Français",R15,IF(Form!$G$3="Italiano",S15,""))))</f>
        <v xml:space="preserve">November    </v>
      </c>
      <c r="P15" s="95" t="s">
        <v>105</v>
      </c>
      <c r="Q15" s="95" t="s">
        <v>105</v>
      </c>
      <c r="R15" s="95" t="s">
        <v>106</v>
      </c>
      <c r="S15" s="95" t="s">
        <v>107</v>
      </c>
    </row>
    <row r="16" spans="1:34">
      <c r="E16" s="94">
        <v>12</v>
      </c>
      <c r="F16" s="91">
        <v>12</v>
      </c>
      <c r="G16" s="94">
        <v>11</v>
      </c>
      <c r="O16" s="93" t="str">
        <f>IF(Form!$G$3="Deutsch",P16,IF(Form!$G$3="English",Q16,IF(Form!$G$3="Français",R16,IF(Form!$G$3="Italiano",S16,""))))</f>
        <v xml:space="preserve">Dezember    </v>
      </c>
      <c r="P16" s="95" t="s">
        <v>108</v>
      </c>
      <c r="Q16" s="95" t="s">
        <v>109</v>
      </c>
      <c r="R16" s="95" t="s">
        <v>110</v>
      </c>
      <c r="S16" s="95" t="s">
        <v>111</v>
      </c>
    </row>
    <row r="17" spans="5:7">
      <c r="E17" s="94">
        <v>13</v>
      </c>
      <c r="F17" s="91">
        <v>13</v>
      </c>
      <c r="G17" s="94">
        <v>12</v>
      </c>
    </row>
    <row r="18" spans="5:7">
      <c r="E18" s="94">
        <v>14</v>
      </c>
    </row>
    <row r="19" spans="5:7">
      <c r="E19" s="94">
        <v>15</v>
      </c>
    </row>
    <row r="20" spans="5:7">
      <c r="E20" s="94">
        <v>16</v>
      </c>
    </row>
    <row r="21" spans="5:7">
      <c r="E21" s="94">
        <v>17</v>
      </c>
    </row>
    <row r="22" spans="5:7">
      <c r="E22" s="94">
        <v>18</v>
      </c>
    </row>
    <row r="23" spans="5:7">
      <c r="E23" s="94">
        <v>19</v>
      </c>
    </row>
    <row r="24" spans="5:7">
      <c r="E24" s="94">
        <v>20</v>
      </c>
    </row>
    <row r="25" spans="5:7">
      <c r="E25" s="94">
        <v>21</v>
      </c>
    </row>
    <row r="26" spans="5:7">
      <c r="E26" s="94">
        <v>22</v>
      </c>
    </row>
    <row r="27" spans="5:7">
      <c r="E27" s="94">
        <v>23</v>
      </c>
    </row>
    <row r="28" spans="5:7">
      <c r="E28" s="94">
        <v>24</v>
      </c>
    </row>
    <row r="29" spans="5:7">
      <c r="E29" s="94">
        <v>25</v>
      </c>
    </row>
    <row r="30" spans="5:7">
      <c r="E30" s="94">
        <v>26</v>
      </c>
    </row>
    <row r="31" spans="5:7">
      <c r="E31" s="94">
        <v>27</v>
      </c>
    </row>
    <row r="32" spans="5:7">
      <c r="E32" s="94">
        <v>28</v>
      </c>
    </row>
    <row r="33" spans="5:5">
      <c r="E33" s="94">
        <v>29</v>
      </c>
    </row>
    <row r="34" spans="5:5">
      <c r="E34" s="94">
        <v>30</v>
      </c>
    </row>
    <row r="35" spans="5:5">
      <c r="E35" s="94">
        <v>31</v>
      </c>
    </row>
  </sheetData>
  <sheetProtection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4</vt:i4>
      </vt:variant>
      <vt:variant>
        <vt:lpstr>Benannte Bereiche</vt:lpstr>
      </vt:variant>
      <vt:variant>
        <vt:i4>2</vt:i4>
      </vt:variant>
    </vt:vector>
  </HeadingPairs>
  <TitlesOfParts>
    <vt:vector size="6" baseType="lpstr">
      <vt:lpstr>Form</vt:lpstr>
      <vt:lpstr>Arbeitsbemühungen</vt:lpstr>
      <vt:lpstr>Sprachen</vt:lpstr>
      <vt:lpstr>Dropdown</vt:lpstr>
      <vt:lpstr>Arbeitsbemühungen!Druckbereich</vt:lpstr>
      <vt:lpstr>Form!Druckbereich</vt:lpstr>
    </vt:vector>
  </TitlesOfParts>
  <Company>v. Rundstedt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Ueli Grossenbacher</dc:creator>
  <cp:lastModifiedBy>Sibylle Scheiwiller</cp:lastModifiedBy>
  <cp:lastPrinted>2025-07-14T13:38:16Z</cp:lastPrinted>
  <dcterms:created xsi:type="dcterms:W3CDTF">2021-12-15T06:17:46Z</dcterms:created>
  <dcterms:modified xsi:type="dcterms:W3CDTF">2026-04-07T09:39:59Z</dcterms:modified>
</cp:coreProperties>
</file>